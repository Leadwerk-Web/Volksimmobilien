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5237b1fd4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e" sheetId="1" r:id="R460ac3aec5994636"/>
    <x:sheet xmlns:r="http://schemas.openxmlformats.org/officeDocument/2006/relationships" name="Listen" sheetId="2" r:id="Rdfa269a83d754845"/>
    <x:sheet xmlns:r="http://schemas.openxmlformats.org/officeDocument/2006/relationships" name="Übersicht" sheetId="3" r:id="Re444f69bb4ac4b46"/>
  </x:sheets>
</x:workbook>
</file>

<file path=xl/sharedStrings.xml><?xml version="1.0" encoding="utf-8"?>
<x:sst xmlns:x="http://schemas.openxmlformats.org/spreadsheetml/2006/main">
  <x:si>
    <x:t xml:space="preserve">Nr.</x:t>
  </x:si>
  <x:si>
    <x:t xml:space="preserve">Bereich</x:t>
  </x:si>
  <x:si>
    <x:t xml:space="preserve">Unterbereich</x:t>
  </x:si>
  <x:si>
    <x:t xml:space="preserve">Prüfpunkt</x:t>
  </x:si>
  <x:si>
    <x:t xml:space="preserve">Bearbeiter</x:t>
  </x:si>
  <x:si>
    <x:t xml:space="preserve">Status</x:t>
  </x:si>
  <x:si>
    <x:t xml:space="preserve">Kommentar</x:t>
  </x:si>
  <x:si>
    <x:t xml:space="preserve">1. Domain und Hosting</x:t>
  </x:si>
  <x:si>
    <x:t xml:space="preserve">SSL-Zertifikat aktiv und gültig?</x:t>
  </x:si>
  <x:si>
    <x:t xml:space="preserve">Atlas Mars</x:t>
  </x:si>
  <x:si>
    <x:t xml:space="preserve">Website lädt vollständig über https://?</x:t>
  </x:si>
  <x:si>
    <x:t xml:space="preserve">Automatische Weiterleitung von http:// auf https:// aktiv?</x:t>
  </x:si>
  <x:si>
    <x:t xml:space="preserve">Domain zeigt auf den richtigen Server?</x:t>
  </x:si>
  <x:si>
    <x:t xml:space="preserve">www / non-www korrekt weitergeleitet?</x:t>
  </x:si>
  <x:si>
    <x:t xml:space="preserve">PHP-Version aktuell und kompatibel?</x:t>
  </x:si>
  <x:si>
    <x:t xml:space="preserve">Server-Caching korrekt konfiguriert?</x:t>
  </x:si>
  <x:si>
    <x:t xml:space="preserve">Fehlerseiten wie 404-Seite vorhanden und korrekt gestaltet?</x:t>
  </x:si>
  <x:si>
    <x:t xml:space="preserve">Staging- oder Testumgebung nicht öffentlich indexierbar?</x:t>
  </x:si>
  <x:si>
    <x:t xml:space="preserve">Keine Testdomains, temporären URLs oder Platzhalter-Links mehr vorhanden?</x:t>
  </x:si>
  <x:si>
    <x:t xml:space="preserve">2. WordPress-Grundkonfiguration</x:t>
  </x:si>
  <x:si>
    <x:t xml:space="preserve">WordPress Core aktuell?</x:t>
  </x:si>
  <x:si>
    <x:t xml:space="preserve">WordPress-Version aktuell?</x:t>
  </x:si>
  <x:si>
    <x:t xml:space="preserve">Alle Plugins aktuell?</x:t>
  </x:si>
  <x:si>
    <x:t xml:space="preserve">Alle Themes aktuell?</x:t>
  </x:si>
  <x:si>
    <x:t xml:space="preserve">Website-Titel und Untertitel korrekt gesetzt?</x:t>
  </x:si>
  <x:si>
    <x:t xml:space="preserve">Zeitzone korrekt eingestellt?</x:t>
  </x:si>
  <x:si>
    <x:t xml:space="preserve">Sprache korrekt eingestellt?</x:t>
  </x:si>
  <x:si>
    <x:t xml:space="preserve">Permalinks richtig eingestellt?</x:t>
  </x:si>
  <x:si>
    <x:t xml:space="preserve">Standard-Beiträge, Beispielseiten und Demo-Inhalte entfernt?</x:t>
  </x:si>
  <x:si>
    <x:t xml:space="preserve">Admin-Benutzer sicher benannt, kein Benutzername wie admin?</x:t>
  </x:si>
  <x:si>
    <x:t xml:space="preserve">Nicht benötigte Benutzerkonten entfernt?</x:t>
  </x:si>
  <x:si>
    <x:t xml:space="preserve">Rollen und Berechtigungen korrekt vergeben?</x:t>
  </x:si>
  <x:si>
    <x:t xml:space="preserve">E-Mail-Adresse der Website korrekt hinterlegt?</x:t>
  </x:si>
  <x:si>
    <x:t xml:space="preserve">Manuelles Backup vor Go-Live erstellt?</x:t>
  </x:si>
  <x:si>
    <x:t xml:space="preserve">3. Inhalte</x:t>
  </x:si>
  <x:si>
    <x:t xml:space="preserve">Alle Seiten sichtbar und veröffentlicht?</x:t>
  </x:si>
  <x:si>
    <x:t xml:space="preserve">Alle Beiträge sichtbar und veröffentlicht?</x:t>
  </x:si>
  <x:si>
    <x:t xml:space="preserve">Keine Entwürfe oder Testseiten versehentlich öffentlich?</x:t>
  </x:si>
  <x:si>
    <x:t xml:space="preserve">Inhalte auf Rechtschreibung und Grammatik geprüft?</x:t>
  </x:si>
  <x:si>
    <x:t xml:space="preserve">Inhalte fachlich und inhaltlich freigegeben?</x:t>
  </x:si>
  <x:si>
    <x:t xml:space="preserve">Texte vollständig, keine Platzhalter wie Lorem ipsum?</x:t>
  </x:si>
  <x:si>
    <x:t xml:space="preserve">Überschriftenstruktur logisch aufgebaut?</x:t>
  </x:si>
  <x:si>
    <x:t xml:space="preserve">Bilder, Videos und Downloads laden korrekt?</x:t>
  </x:si>
  <x:si>
    <x:t xml:space="preserve">Alt-Texte für Bilder gepflegt?</x:t>
  </x:si>
  <x:si>
    <x:t xml:space="preserve">PDF- und Download-Links geprüft?</x:t>
  </x:si>
  <x:si>
    <x:t xml:space="preserve">Interne Verlinkungen korrekt gesetzt?</x:t>
  </x:si>
  <x:si>
    <x:t xml:space="preserve">Externe Links geprüft?</x:t>
  </x:si>
  <x:si>
    <x:t xml:space="preserve">Keine defekten Links vorhanden?</x:t>
  </x:si>
  <x:si>
    <x:t xml:space="preserve">Kontaktinformationen konsistent auf allen Seiten?</x:t>
  </x:si>
  <x:si>
    <x:t xml:space="preserve">Telefonnummern klickbar auf mobilen Geräten?</x:t>
  </x:si>
  <x:si>
    <x:t xml:space="preserve">E-Mail-Adressen korrekt verlinkt?</x:t>
  </x:si>
  <x:si>
    <x:t xml:space="preserve">Adressen und Öffnungszeiten aktuell?</x:t>
  </x:si>
  <x:si>
    <x:t xml:space="preserve">Impressum und Datenschutzseiten sind erreichbar und mit den richtigen Inhalten befüllt.</x:t>
  </x:si>
  <x:si>
    <x:t xml:space="preserve">4. Design und Layout</x:t>
  </x:si>
  <x:si>
    <x:t xml:space="preserve">Responsives Design auf Desktop, Tablet und Smartphone geprüft?</x:t>
  </x:si>
  <x:si>
    <x:t xml:space="preserve">Darstellung in gängigen Browsern geprüft?</x:t>
  </x:si>
  <x:si>
    <x:t xml:space="preserve">Darstellung in Chrome geprüft?</x:t>
  </x:si>
  <x:si>
    <x:t xml:space="preserve">Darstellung in Safari geprüft?</x:t>
  </x:si>
  <x:si>
    <x:t xml:space="preserve">Darstellung in Firefox geprüft?</x:t>
  </x:si>
  <x:si>
    <x:t xml:space="preserve">Darstellung in Edge geprüft?</x:t>
  </x:si>
  <x:si>
    <x:t xml:space="preserve">Menüs und Navigation funktionieren?</x:t>
  </x:si>
  <x:si>
    <x:t xml:space="preserve">Mobile Navigation / Burger-Menü funktioniert?</x:t>
  </x:si>
  <x:si>
    <x:t xml:space="preserve">Footer vollständig und korrekt?</x:t>
  </x:si>
  <x:si>
    <x:t xml:space="preserve">Header korrekt?</x:t>
  </x:si>
  <x:si>
    <x:t xml:space="preserve">Buttons und Call-to-Actions funktionieren?</x:t>
  </x:si>
  <x:si>
    <x:t xml:space="preserve">Keine Layout-Brüche?</x:t>
  </x:si>
  <x:si>
    <x:t xml:space="preserve">Keine überlappenden Elemente?</x:t>
  </x:si>
  <x:si>
    <x:t xml:space="preserve">Benutzerdefinierte Schriftarten werden korrekt geladen?</x:t>
  </x:si>
  <x:si>
    <x:t xml:space="preserve">Hover-Zustände geprüft?</x:t>
  </x:si>
  <x:si>
    <x:t xml:space="preserve">Akkordeons, Slider, Tabs und Pop-ups getestet?</x:t>
  </x:si>
  <x:si>
    <x:t xml:space="preserve">Favicon eingebunden?</x:t>
  </x:si>
  <x:si>
    <x:t xml:space="preserve">Logo korrekt eingebunden?</x:t>
  </x:si>
  <x:si>
    <x:t xml:space="preserve">5. Formulare und Kontaktfunktionen</x:t>
  </x:si>
  <x:si>
    <x:t xml:space="preserve">Alle Formulare getestet?</x:t>
  </x:si>
  <x:si>
    <x:t xml:space="preserve">Kontaktformular funktioniert?</x:t>
  </x:si>
  <x:si>
    <x:t xml:space="preserve">Pflichtfelder korrekt definiert?</x:t>
  </x:si>
  <x:si>
    <x:t xml:space="preserve">Fehlermeldungen verständlich?</x:t>
  </x:si>
  <x:si>
    <x:t xml:space="preserve">Erfolgsmeldung korrekt?</x:t>
  </x:si>
  <x:si>
    <x:t xml:space="preserve">Weiterleitungsfunktion nach Absenden aktiv?</x:t>
  </x:si>
  <x:si>
    <x:t xml:space="preserve">Weiterleitung auf eine Dankeseite eingerichtet?</x:t>
  </x:si>
  <x:si>
    <x:t xml:space="preserve">Dankeseite ist angelegt?</x:t>
  </x:si>
  <x:si>
    <x:t xml:space="preserve">Dankeseite ist erreichbar?</x:t>
  </x:si>
  <x:si>
    <x:t xml:space="preserve">Dankeseite ist nicht unnötig in der Navigation sichtbar?</x:t>
  </x:si>
  <x:si>
    <x:t xml:space="preserve">Dankeseite bei Bedarf auf noindex gesetzt?</x:t>
  </x:si>
  <x:si>
    <x:t xml:space="preserve">Formular-Sender korrekt eingestellt?</x:t>
  </x:si>
  <x:si>
    <x:t xml:space="preserve">Formular-Empfänger ist auf eine Kunden-E-Mail-Adresse eingestellt?</x:t>
  </x:si>
  <x:si>
    <x:t xml:space="preserve">CC/BCC-Empfänger korrekt?</x:t>
  </x:si>
  <x:si>
    <x:t xml:space="preserve">Absenderadresse technisch sauber eingerichtet?</x:t>
  </x:si>
  <x:si>
    <x:t xml:space="preserve">Datenschutz-Hinweis am Formular vorhanden?</x:t>
  </x:si>
  <x:si>
    <x:t xml:space="preserve">Checkbox für Datenschutz, falls erforderlich, vorhanden?</x:t>
  </x:si>
  <x:si>
    <x:t xml:space="preserve">Spam-Schutz aktiv?</x:t>
  </x:si>
  <x:si>
    <x:t xml:space="preserve">Honeypot aktiv?</x:t>
  </x:si>
  <x:si>
    <x:t xml:space="preserve">reCAPTCHA aktiv?</x:t>
  </x:si>
  <x:si>
    <x:t xml:space="preserve">Datei-Uploads, falls vorhanden, getestet?</x:t>
  </x:si>
  <x:si>
    <x:t xml:space="preserve">Formulare im Inkognito-Modus getestet?</x:t>
  </x:si>
  <x:si>
    <x:t xml:space="preserve">Formulare auf mobilen Geräten getestet?</x:t>
  </x:si>
  <x:si>
    <x:t xml:space="preserve">WPForms</x:t>
  </x:si>
  <x:si>
    <x:t xml:space="preserve">WPForms korrekt eingebunden?</x:t>
  </x:si>
  <x:si>
    <x:t xml:space="preserve">WPForms in der kostenpflichtigen Version aktiv, falls benötigt?</x:t>
  </x:si>
  <x:si>
    <x:t xml:space="preserve">Lizenzschlüssel aktiv?</x:t>
  </x:si>
  <x:si>
    <x:t xml:space="preserve">Datenbankeinträge / Entries sichtbar?</x:t>
  </x:si>
  <x:si>
    <x:t xml:space="preserve">Formularübermittlungen werden gespeichert?</x:t>
  </x:si>
  <x:si>
    <x:t xml:space="preserve">Testeinträge im Backend sichtbar?</x:t>
  </x:si>
  <x:si>
    <x:t xml:space="preserve">Weiterleitung zur Dankeseite korrekt konfiguriert?</x:t>
  </x:si>
  <x:si>
    <x:t xml:space="preserve">Tracking-Events beim Absenden korrekt ausgelöst?</x:t>
  </x:si>
  <x:si>
    <x:t xml:space="preserve">Fehlermeldungen und Validierung geprüft?</x:t>
  </x:si>
  <x:si>
    <x:t xml:space="preserve">6. Tracking, Analytics und Ads</x:t>
  </x:si>
  <x:si>
    <x:t xml:space="preserve">Google Analytics 4</x:t>
  </x:si>
  <x:si>
    <x:t xml:space="preserve">Google Analytics 4 korrekt eingebunden?</x:t>
  </x:si>
  <x:si>
    <x:t xml:space="preserve">GA4 Property-ID korrekt?</x:t>
  </x:si>
  <x:si>
    <x:t xml:space="preserve">GA4 misst Seitenaufrufe?</x:t>
  </x:si>
  <x:si>
    <x:t xml:space="preserve">GA4 misst Events korrekt?</x:t>
  </x:si>
  <x:si>
    <x:t xml:space="preserve">DebugView getestet?</x:t>
  </x:si>
  <x:si>
    <x:t xml:space="preserve">Realtime-Report zeigt Testbesuche?</x:t>
  </x:si>
  <x:si>
    <x:t xml:space="preserve">GA4 lädt erst nach Zustimmung, sofern rechtlich erforderlich?</x:t>
  </x:si>
  <x:si>
    <x:t xml:space="preserve">Keine doppelte GA4-Einbindung vorhanden?</x:t>
  </x:si>
  <x:si>
    <x:t xml:space="preserve">Google Tag Manager</x:t>
  </x:si>
  <x:si>
    <x:t xml:space="preserve">GTM-Container korrekt eingebunden?</x:t>
  </x:si>
  <x:si>
    <x:t xml:space="preserve">GTM-Code im head und body korrekt platziert?</x:t>
  </x:si>
  <x:si>
    <x:t xml:space="preserve">GTM Preview Mode getestet?</x:t>
  </x:si>
  <x:si>
    <x:t xml:space="preserve">Tags feuern korrekt?</x:t>
  </x:si>
  <x:si>
    <x:t xml:space="preserve">Trigger korrekt eingestellt?</x:t>
  </x:si>
  <x:si>
    <x:t xml:space="preserve">Variablen korrekt konfiguriert?</x:t>
  </x:si>
  <x:si>
    <x:t xml:space="preserve">Keine doppelten Tags vorhanden?</x:t>
  </x:si>
  <x:si>
    <x:t xml:space="preserve">Live-Version veröffentlicht?</x:t>
  </x:si>
  <x:si>
    <x:t xml:space="preserve">Alte oder ungenutzte Tags entfernt?</x:t>
  </x:si>
  <x:si>
    <x:t xml:space="preserve">Google Ads</x:t>
  </x:si>
  <x:si>
    <x:t xml:space="preserve">Google Ads Conversion Tracking vorhanden, falls eingesetzt?</x:t>
  </x:si>
  <x:si>
    <x:t xml:space="preserve">Conversion-ID korrekt?</x:t>
  </x:si>
  <x:si>
    <x:t xml:space="preserve">Conversion-Label korrekt?</x:t>
  </x:si>
  <x:si>
    <x:t xml:space="preserve">Conversion für Formular abgesendet eingerichtet?</x:t>
  </x:si>
  <x:si>
    <x:t xml:space="preserve">Conversion für Anruf-Klick eingerichtet?</x:t>
  </x:si>
  <x:si>
    <x:t xml:space="preserve">Conversion für E-Mail-Klick eingerichtet?</x:t>
  </x:si>
  <x:si>
    <x:t xml:space="preserve">Conversion für Kauf eingerichtet?</x:t>
  </x:si>
  <x:si>
    <x:t xml:space="preserve">Conversion für Terminbuchung eingerichtet?</x:t>
  </x:si>
  <x:si>
    <x:t xml:space="preserve">Conversion für Download eingerichtet?</x:t>
  </x:si>
  <x:si>
    <x:t xml:space="preserve">Conversion wird nur nach erfolgreicher Aktion ausgelöst?</x:t>
  </x:si>
  <x:si>
    <x:t xml:space="preserve">Dankeseite als Conversion-Ziel korrekt eingerichtet?</x:t>
  </x:si>
  <x:si>
    <x:t xml:space="preserve">Test-Conversion durchgeführt?</x:t>
  </x:si>
  <x:si>
    <x:t xml:space="preserve">Conversion in Google Ads nachvollziehbar?</x:t>
  </x:si>
  <x:si>
    <x:t xml:space="preserve">Keine doppelte Conversion-Messung?</x:t>
  </x:si>
  <x:si>
    <x:t xml:space="preserve">Meta / Facebook Tracking</x:t>
  </x:si>
  <x:si>
    <x:t xml:space="preserve">Meta Pixel korrekt eingebunden, falls eingesetzt?</x:t>
  </x:si>
  <x:si>
    <x:t xml:space="preserve">Pixel-ID korrekt?</x:t>
  </x:si>
  <x:si>
    <x:t xml:space="preserve">PageView Event korrekt eingerichtet?</x:t>
  </x:si>
  <x:si>
    <x:t xml:space="preserve">Lead Event korrekt eingerichtet?</x:t>
  </x:si>
  <x:si>
    <x:t xml:space="preserve">Contact Event korrekt eingerichtet?</x:t>
  </x:si>
  <x:si>
    <x:t xml:space="preserve">CompleteRegistration Event korrekt eingerichtet?</x:t>
  </x:si>
  <x:si>
    <x:t xml:space="preserve">Purchase Event korrekt eingerichtet, falls relevant?</x:t>
  </x:si>
  <x:si>
    <x:t xml:space="preserve">Events Manager zeigt Testevents?</x:t>
  </x:si>
  <x:si>
    <x:t xml:space="preserve">Events feuern gemäß Consent-Einstellung?</x:t>
  </x:si>
  <x:si>
    <x:t xml:space="preserve">Keine doppelte Pixel-Einbindung?</x:t>
  </x:si>
  <x:si>
    <x:t xml:space="preserve">Tracking-Plugin / HCFM</x:t>
  </x:si>
  <x:si>
    <x:t xml:space="preserve">Alle Tracking Tools mit WordPress Plugin HCFM hinterlegt/gepflegt?</x:t>
  </x:si>
  <x:si>
    <x:t xml:space="preserve">Google Analytics 4 über HCFM korrekt hinterlegt, falls darüber eingebunden?</x:t>
  </x:si>
  <x:si>
    <x:t xml:space="preserve">Google Ads Tracking über HCFM korrekt hinterlegt, falls darüber eingebunden?</x:t>
  </x:si>
  <x:si>
    <x:t xml:space="preserve">Meta Pixel über HCFM korrekt hinterlegt, falls darüber eingebunden?</x:t>
  </x:si>
  <x:si>
    <x:t xml:space="preserve">Zusätzliche Tracking-Codes sauber im Header hinterlegt?</x:t>
  </x:si>
  <x:si>
    <x:t xml:space="preserve">Zusätzliche Tracking-Codes sauber im Body hinterlegt?</x:t>
  </x:si>
  <x:si>
    <x:t xml:space="preserve">Zusätzliche Tracking-Codes sauber im Footer hinterlegt?</x:t>
  </x:si>
  <x:si>
    <x:t xml:space="preserve">Keine Tracking-Codes doppelt über HCFM, Theme, Plugin oder GTM eingebunden?</x:t>
  </x:si>
  <x:si>
    <x:t xml:space="preserve">7. Consent-Banner und Datenschutz-Tracking</x:t>
  </x:si>
  <x:si>
    <x:t xml:space="preserve">Consent-Banner korrekt eingebunden?</x:t>
  </x:si>
  <x:si>
    <x:t xml:space="preserve">Banner erscheint beim ersten Besuch?</x:t>
  </x:si>
  <x:si>
    <x:t xml:space="preserve">Banner funktioniert im Inkognito-Modus?</x:t>
  </x:si>
  <x:si>
    <x:t xml:space="preserve">Ablehnen, Akzeptieren und individuelle Einstellungen funktionieren?</x:t>
  </x:si>
  <x:si>
    <x:t xml:space="preserve">Google Analytics lädt erst nach Zustimmung, sofern rechtlich erforderlich?</x:t>
  </x:si>
  <x:si>
    <x:t xml:space="preserve">Google Ads Tags laden erst nach Zustimmung, sofern rechtlich erforderlich?</x:t>
  </x:si>
  <x:si>
    <x:t xml:space="preserve">Meta Pixel lädt erst nach Zustimmung, sofern rechtlich erforderlich?</x:t>
  </x:si>
  <x:si>
    <x:t xml:space="preserve">Externe Medien wie YouTube, Google Maps oder Vimeo blockiert bis Zustimmung?</x:t>
  </x:si>
  <x:si>
    <x:t xml:space="preserve">Impressum und Datenschutz im Footer verlinkt?</x:t>
  </x:si>
  <x:si>
    <x:t xml:space="preserve">Consent-Banner auf mobilen Geräten korrekt bedienbar?</x:t>
  </x:si>
  <x:si>
    <x:t xml:space="preserve">Keine Layout-Probleme durch Banner?</x:t>
  </x:si>
  <x:si>
    <x:t xml:space="preserve">8. SEO</x:t>
  </x:si>
  <x:si>
    <x:t xml:space="preserve">Technisches SEO</x:t>
  </x:si>
  <x:si>
    <x:t xml:space="preserve">SEO-Plugin konfiguriert?</x:t>
  </x:si>
  <x:si>
    <x:t xml:space="preserve">Einstellung in WordPress auf der Produktionsseite erlaubt das Lesen durch Suchmaschinen?</x:t>
  </x:si>
  <x:si>
    <x:t xml:space="preserve">Indexierung in WordPress aktiviert?</x:t>
  </x:si>
  <x:si>
    <x:t xml:space="preserve">Keine globale noindex-Einstellung aktiv?</x:t>
  </x:si>
  <x:si>
    <x:t xml:space="preserve">Robots.txt richtig konfiguriert?</x:t>
  </x:si>
  <x:si>
    <x:t xml:space="preserve">XML-Sitemap vorhanden?</x:t>
  </x:si>
  <x:si>
    <x:t xml:space="preserve">Sitemap bei Google Search Console eingereicht?</x:t>
  </x:si>
  <x:si>
    <x:t xml:space="preserve">Google Search Console eingerichtet?</x:t>
  </x:si>
  <x:si>
    <x:t xml:space="preserve">Sitemap enthält nur relevante URLs?</x:t>
  </x:si>
  <x:si>
    <x:t xml:space="preserve">Weiterleitungen korrekt eingerichtet?</x:t>
  </x:si>
  <x:si>
    <x:t xml:space="preserve">Keine unnötigen 301-/302-Ketten?</x:t>
  </x:si>
  <x:si>
    <x:t xml:space="preserve">404-Fehler geprüft?</x:t>
  </x:si>
  <x:si>
    <x:t xml:space="preserve">Sprachversionen / hreflang korrekt, falls mehrsprachig?</x:t>
  </x:si>
  <x:si>
    <x:t xml:space="preserve">URL-Struktur sauber?</x:t>
  </x:si>
  <x:si>
    <x:t xml:space="preserve">Permalinks suchmaschinenfreundlich?</x:t>
  </x:si>
  <x:si>
    <x:t xml:space="preserve">Breadcrumbs vorhanden, falls sinnvoll?</x:t>
  </x:si>
  <x:si>
    <x:t xml:space="preserve">Breadcrumb-Schema korrekt?</x:t>
  </x:si>
  <x:si>
    <x:t xml:space="preserve">Meta-Daten</x:t>
  </x:si>
  <x:si>
    <x:t xml:space="preserve">Meta-Titel für alle wichtigen Seiten gesetzt?</x:t>
  </x:si>
  <x:si>
    <x:t xml:space="preserve">Meta-Descriptions für alle wichtigen Seiten gesetzt?</x:t>
  </x:si>
  <x:si>
    <x:t xml:space="preserve">Meta-Titel nicht zu lang?</x:t>
  </x:si>
  <x:si>
    <x:t xml:space="preserve">Meta-Descriptions nicht zu lang?</x:t>
  </x:si>
  <x:si>
    <x:t xml:space="preserve">Titel und Descriptions eindeutig pro Seite?</x:t>
  </x:si>
  <x:si>
    <x:t xml:space="preserve">Fokus-Keywords sinnvoll verwendet?</x:t>
  </x:si>
  <x:si>
    <x:t xml:space="preserve">Open Graph Titel und Beschreibungen gesetzt?</x:t>
  </x:si>
  <x:si>
    <x:t xml:space="preserve">Social Sharing Bild gesetzt?</x:t>
  </x:si>
  <x:si>
    <x:t xml:space="preserve">Inhalte und OnPage-SEO</x:t>
  </x:si>
  <x:si>
    <x:t xml:space="preserve">Pro Seite genau eine sinnvolle H1?</x:t>
  </x:si>
  <x:si>
    <x:t xml:space="preserve">H2-/H3-Struktur logisch?</x:t>
  </x:si>
  <x:si>
    <x:t xml:space="preserve">Keywords natürlich integriert?</x:t>
  </x:si>
  <x:si>
    <x:t xml:space="preserve">Interne Links sinnvoll gesetzt?</x:t>
  </x:si>
  <x:si>
    <x:t xml:space="preserve">Wichtige Seiten von der Navigation erreichbar?</x:t>
  </x:si>
  <x:si>
    <x:t xml:space="preserve">Bild-Alt-Texte gesetzt?</x:t>
  </x:si>
  <x:si>
    <x:t xml:space="preserve">Dateinamen von Bildern SEO-freundlich?</x:t>
  </x:si>
  <x:si>
    <x:t xml:space="preserve">Lokale SEO-Daten korrekt, falls relevant?</x:t>
  </x:si>
  <x:si>
    <x:t xml:space="preserve">Adresse korrekt?</x:t>
  </x:si>
  <x:si>
    <x:t xml:space="preserve">Telefonnummer korrekt?</x:t>
  </x:si>
  <x:si>
    <x:t xml:space="preserve">Öffnungszeiten korrekt?</x:t>
  </x:si>
  <x:si>
    <x:t xml:space="preserve">Standortseiten korrekt?</x:t>
  </x:si>
  <x:si>
    <x:t xml:space="preserve">NAP-Daten konsistent: Name, Address, Phone?</x:t>
  </x:si>
  <x:si>
    <x:t xml:space="preserve">Rich Snippets / strukturierte Daten</x:t>
  </x:si>
  <x:si>
    <x:t xml:space="preserve">Strukturierte Daten eingebunden?</x:t>
  </x:si>
  <x:si>
    <x:t xml:space="preserve">Rich Snippets mit Google Rich Results Test geprüft?</x:t>
  </x:si>
  <x:si>
    <x:t xml:space="preserve">Aggregate Rating korrekt eingebunden, falls vorhanden?</x:t>
  </x:si>
  <x:si>
    <x:t xml:space="preserve">Bewertungen / Rezensionen korrekt ausgezeichnet?</x:t>
  </x:si>
  <x:si>
    <x:t xml:space="preserve">Review-Markup nur dort eingesetzt, wo es zulässig und inhaltlich sichtbar ist?</x:t>
  </x:si>
  <x:si>
    <x:t xml:space="preserve">LocalBusiness-Schema geprüft?</x:t>
  </x:si>
  <x:si>
    <x:t xml:space="preserve">Organization-Schema geprüft?</x:t>
  </x:si>
  <x:si>
    <x:t xml:space="preserve">FAQ-Schema geprüft, falls vorhanden?</x:t>
  </x:si>
  <x:si>
    <x:t xml:space="preserve">Breadcrumb-Schema geprüft?</x:t>
  </x:si>
  <x:si>
    <x:t xml:space="preserve">Product-, Service- oder Event-Schema geprüft, falls relevant?</x:t>
  </x:si>
  <x:si>
    <x:t xml:space="preserve">Keine fehlerhaften oder irreführenden strukturierten Daten?</x:t>
  </x:si>
  <x:si>
    <x:t xml:space="preserve">Strukturierte Daten auf allen relevanten Seiten vorhanden?</x:t>
  </x:si>
  <x:si>
    <x:t xml:space="preserve">Keine Duplicate-Schema-Konflikte durch mehrere Plugins?</x:t>
  </x:si>
  <x:si>
    <x:t xml:space="preserve">9. Sicherheit</x:t>
  </x:si>
  <x:si>
    <x:t xml:space="preserve">In WPMUDEV als Wartungskunde durch eigene Checkliste eingerichtet?</x:t>
  </x:si>
  <x:si>
    <x:t xml:space="preserve">10. Performance</x:t>
  </x:si>
  <x:si>
    <x:t xml:space="preserve">Bilder optimiert?</x:t>
  </x:si>
  <x:si>
    <x:t xml:space="preserve">Moderne Bildformate verwendet, z.B. WebP?</x:t>
  </x:si>
  <x:si>
    <x:t xml:space="preserve">Lazy Loading aktiv?</x:t>
  </x:si>
  <x:si>
    <x:t xml:space="preserve">Videos performant eingebunden?</x:t>
  </x:si>
  <x:si>
    <x:t xml:space="preserve">Fonts lokal oder performant geladen?</x:t>
  </x:si>
  <x:si>
    <x:t xml:space="preserve">Keine unnötigen Plugins aktiv?</x:t>
  </x:si>
  <x:si>
    <x:t xml:space="preserve">Seitenladegeschwindigkeit geprüft mit PageSpeed Insights?</x:t>
  </x:si>
  <x:si>
    <x:t xml:space="preserve">Mobile Performance geprüft?</x:t>
  </x:si>
  <x:si>
    <x:t xml:space="preserve">11. Rechtliche Konformität &amp; Freigabe</x:t>
  </x:si>
  <x:si>
    <x:t xml:space="preserve">Impressum aktuell?</x:t>
  </x:si>
  <x:si>
    <x:t xml:space="preserve">Datenschutzerklärung aktuell?</x:t>
  </x:si>
  <x:si>
    <x:t xml:space="preserve">Go-Live-Checkliste abgeschlossen?</x:t>
  </x:si>
  <x:si>
    <x:t xml:space="preserve">Kunde hat finale Freigabe erteilt?</x:t>
  </x:si>
  <x:si>
    <x:t xml:space="preserve">Tina Haag-Al Jammal</x:t>
  </x:si>
  <x:si>
    <x:t xml:space="preserve">Offen</x:t>
  </x:si>
  <x:si>
    <x:t xml:space="preserve">Erledigt</x:t>
  </x:si>
  <x:si>
    <x:t xml:space="preserve">Florian Schück</x:t>
  </x:si>
  <x:si>
    <x:t xml:space="preserve">Nicht erledigt</x:t>
  </x:si>
  <x:si>
    <x:t xml:space="preserve">Mine Hosgör</x:t>
  </x:si>
  <x:si>
    <x:t xml:space="preserve">Fatih Madak</x:t>
  </x:si>
  <x:si>
    <x:t xml:space="preserve">Go-Live-Checkliste – Übersicht</x:t>
  </x:si>
  <x:si>
    <x:t xml:space="preserve">Kennzahl</x:t>
  </x:si>
  <x:si>
    <x:t xml:space="preserve">Wert</x:t>
  </x:si>
  <x:si>
    <x:t xml:space="preserve">Anzahl</x:t>
  </x:si>
  <x:si>
    <x:t xml:space="preserve">Gesamt</x:t>
  </x:si>
  <x:si>
    <x:t xml:space="preserve">Fortschritt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</x:si>
</x:sst>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4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 wrapText="1"/>
    </x:xf>
    <x:xf numFmtId="0" fontId="1" fillId="0" borderId="0" xfId="0" applyFont="1" applyAlignment="1">
      <x:alignment wrapText="1"/>
    </x:xf>
    <x:xf numFmtId="9" fontId="1" fillId="0" borderId="0" xfId="0" applyNumberFormat="1" applyFont="1" applyAlignment="1">
      <x:alignment wrapText="1"/>
    </x:xf>
    <x:xf numFmtId="0" fontId="1" fillId="4" borderId="0" xfId="0" applyFont="1" applyFill="1" applyAlignment="1">
      <x:alignment wrapText="1"/>
    </x:xf>
    <x:xf numFmtId="0" fontId="3" fillId="3" borderId="0" xfId="0" applyFont="1" applyFill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Standard" xfId="0"/>
  </x:cellStyles>
  <x:dxfs count="6"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EF2F2"/>
        </x:patternFill>
      </x:fill>
    </x:dxf>
    <x:dxf>
      <x:fill>
        <x:patternFill>
          <x:bgColor rgb="FFF0FD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39040e91c491d" /><Relationship Type="http://schemas.openxmlformats.org/officeDocument/2006/relationships/theme" Target="/xl/theme/theme1.xml" Id="Rfbada700b54d4821" /><Relationship Type="http://schemas.openxmlformats.org/officeDocument/2006/relationships/sharedStrings" Target="/xl/sharedStrings.xml" Id="R600930c954444d4c" /><Relationship Type="http://schemas.openxmlformats.org/officeDocument/2006/relationships/worksheet" Target="/xl/worksheets/sheet1.xml" Id="R460ac3aec5994636" /><Relationship Type="http://schemas.openxmlformats.org/officeDocument/2006/relationships/worksheet" Target="/xl/worksheets/sheet2.xml" Id="Rdfa269a83d754845" /><Relationship Type="http://schemas.openxmlformats.org/officeDocument/2006/relationships/worksheet" Target="/xl/worksheets/sheet3.xml" Id="Re444f69bb4ac4b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a17791dee54956" /><Relationship Type="http://schemas.openxmlformats.org/officeDocument/2006/relationships/chart" Target="/xl/drawings/charts/chart2.xml" Id="Rc20871d04d974311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der Checkliste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Übersicht!$A$4:$A$7</c:f>
              <c:strCache>
                <c:ptCount val="4"/>
                <c:pt idx="0">
                  <c:v>Gesamt</c:v>
                </c:pt>
                <c:pt idx="1">
                  <c:v>Offen</c:v>
                </c:pt>
                <c:pt idx="2">
                  <c:v>Erledigt</c:v>
                </c:pt>
                <c:pt idx="3">
                  <c:v>Nicht erledigt</c:v>
                </c:pt>
              </c:strCache>
            </c:strRef>
          </c:cat>
          <c:val>
            <c:numRef>
              <c:f>Übersicht!$B$4:$B$7</c:f>
              <c:numCache>
                <c:formatCode>General</c:formatCode>
                <c:ptCount val="4"/>
                <c:pt idx="0">
                  <c:v>217</c:v>
                </c:pt>
                <c:pt idx="1">
                  <c:v>217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Aufgaben nach Bearbeiter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Übersicht!$D$4:$D$8</c:f>
              <c:strCache>
                <c:ptCount val="5"/>
                <c:pt idx="0">
                  <c:v>Tina Haag-Al Jammal</c:v>
                </c:pt>
                <c:pt idx="1">
                  <c:v>Atlas Mars</c:v>
                </c:pt>
                <c:pt idx="2">
                  <c:v>Florian Schück</c:v>
                </c:pt>
                <c:pt idx="3">
                  <c:v>Mine Hosgör</c:v>
                </c:pt>
                <c:pt idx="4">
                  <c:v>Fatih Madak</c:v>
                </c:pt>
              </c:strCache>
            </c:strRef>
          </c:cat>
          <c:val>
            <c:numRef>
              <c:f>Übersicht!$E$4:$E$8</c:f>
              <c:numCache>
                <c:formatCode>General</c:formatCode>
                <c:ptCount val="5"/>
                <c:pt idx="0">
                  <c:v>0</c:v>
                </c:pt>
                <c:pt idx="1">
                  <c:v>217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a17791dee54956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0871d04d9743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leaseChecklistTable" displayName="ReleaseChecklistTable" ref="A1:G218">
  <x:tableColumns count="7">
    <x:tableColumn id="1" name="Nr."/>
    <x:tableColumn id="2" name="Bereich"/>
    <x:tableColumn id="3" name="Unterbereich"/>
    <x:tableColumn id="4" name="Prüfpunkt"/>
    <x:tableColumn id="5" name="Bearbeiter"/>
    <x:tableColumn id="6" name="Status"/>
    <x:tableColumn id="7" name="Kommen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892a45883a45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e96db08bf7d4e56" /></Relationships>
</file>

<file path=xl/worksheets/sheet1.xml><?xml version="1.0" encoding="utf-8"?>
<x:worksheet xmlns:x="http://schemas.openxmlformats.org/spreadsheetml/2006/main">
  <x:sheetFormatPr defaultColWidth="9" defaultRowHeight="14.100000381469727"/>
  <x:cols>
    <x:col min="1" max="1" width="7" customWidth="1"/>
    <x:col min="2" max="2" width="27.5" customWidth="1"/>
    <x:col min="3" max="3" width="22.375" customWidth="1"/>
    <x:col min="4" max="4" width="52" customWidth="1"/>
    <x:col min="5" max="5" width="24" customWidth="1"/>
    <x:col min="6" max="6" width="16" customWidth="1"/>
    <x:col min="7" max="7" width="36" customWidth="1"/>
  </x:cols>
  <x:sheetData>
    <x:row r="1" ht="24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>
      <x:c r="A2" s="4">
        <x:v>1</x:v>
      </x:c>
      <x:c r="B2" s="4" t="s">
        <x:v>7</x:v>
      </x:c>
      <x:c r="C2" s="4"/>
      <x:c r="D2" s="4" t="s">
        <x:v>8</x:v>
      </x:c>
      <x:c r="E2" s="4" t="s">
        <x:v>9</x:v>
      </x:c>
      <x:c r="F2" s="9" t="str">
        <x:v>Offen</x:v>
      </x:c>
      <x:c r="G2" s="10" t="str">
        <x:v>Nach dem Domainwechsel: produktives SSL-Zertifikat ausstellen und extern prüfen.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>
      <x:c r="A3" s="4">
        <x:v>2</x:v>
      </x:c>
      <x:c r="B3" s="4" t="s">
        <x:v>7</x:v>
      </x:c>
      <x:c r="C3" s="4"/>
      <x:c r="D3" s="4" t="s">
        <x:v>10</x:v>
      </x:c>
      <x:c r="E3" s="4" t="s">
        <x:v>9</x:v>
      </x:c>
      <x:c r="F3" s="9" t="str">
        <x:v>Offen</x:v>
      </x:c>
      <x:c r="G3" s="10" t="str">
        <x:v>Lokal nur HTTP testbar; vollständige HTTPS-Auslieferung auf der Produktivdomain prüfen.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>
      <x:c r="A4" s="4">
        <x:v>3</x:v>
      </x:c>
      <x:c r="B4" s="4" t="s">
        <x:v>7</x:v>
      </x:c>
      <x:c r="C4" s="4"/>
      <x:c r="D4" s="4" t="s">
        <x:v>11</x:v>
      </x:c>
      <x:c r="E4" s="4" t="s">
        <x:v>9</x:v>
      </x:c>
      <x:c r="F4" s="9" t="str">
        <x:v>Offen</x:v>
      </x:c>
      <x:c r="G4" s="10" t="str">
        <x:v>HTTP→HTTPS-Weiterleitung erst auf der Produktivdomain abschließend prüfbar.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>
      <x:c r="A5" s="4">
        <x:v>4</x:v>
      </x:c>
      <x:c r="B5" s="4" t="s">
        <x:v>7</x:v>
      </x:c>
      <x:c r="C5" s="4"/>
      <x:c r="D5" s="4" t="s">
        <x:v>12</x:v>
      </x:c>
      <x:c r="E5" s="4" t="s">
        <x:v>9</x:v>
      </x:c>
      <x:c r="F5" s="9" t="str">
        <x:v>Offen</x:v>
      </x:c>
      <x:c r="G5" s="10" t="str">
        <x:v>DNS-Ziel und produktiver Server können erst beim Domainwechsel verifiziert werden.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>
      <x:c r="A6" s="4">
        <x:v>5</x:v>
      </x:c>
      <x:c r="B6" s="4" t="s">
        <x:v>7</x:v>
      </x:c>
      <x:c r="C6" s="4"/>
      <x:c r="D6" s="4" t="s">
        <x:v>13</x:v>
      </x:c>
      <x:c r="E6" s="4" t="s">
        <x:v>9</x:v>
      </x:c>
      <x:c r="F6" s="9" t="str">
        <x:v>Offen</x:v>
      </x:c>
      <x:c r="G6" s="10" t="str">
        <x:v>Gewünschte www/non-www-Hauptdomain festlegen und Weiterleitung nach DNS-Wechsel testen.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>
      <x:c r="A7" s="4">
        <x:v>6</x:v>
      </x:c>
      <x:c r="B7" s="4" t="s">
        <x:v>7</x:v>
      </x:c>
      <x:c r="C7" s="4"/>
      <x:c r="D7" s="4" t="s">
        <x:v>14</x:v>
      </x:c>
      <x:c r="E7" s="4" t="s">
        <x:v>9</x:v>
      </x:c>
      <x:c r="F7" s="9" t="str">
        <x:v>Erledigt</x:v>
      </x:c>
      <x:c r="G7" s="10" t="str">
        <x:v>PHP 8.4.18 lokal aktiv; 28 Projekt-PHP-Dateien ohne Syntaxfehler geprüft.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>
      <x:c r="A8" s="4">
        <x:v>7</x:v>
      </x:c>
      <x:c r="B8" s="4" t="s">
        <x:v>7</x:v>
      </x:c>
      <x:c r="C8" s="4"/>
      <x:c r="D8" s="4" t="s">
        <x:v>15</x:v>
      </x:c>
      <x:c r="E8" s="4" t="s">
        <x:v>9</x:v>
      </x:c>
      <x:c r="F8" s="9" t="str">
        <x:v>Offen</x:v>
      </x:c>
      <x:c r="G8" s="10" t="str">
        <x:v>Lokaler Cache funktioniert; Server-/CDN-Cache nach Deployment produktiv prüfen.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>
      <x:c r="A9" s="4">
        <x:v>8</x:v>
      </x:c>
      <x:c r="B9" s="4" t="s">
        <x:v>7</x:v>
      </x:c>
      <x:c r="C9" s="4"/>
      <x:c r="D9" s="4" t="s">
        <x:v>16</x:v>
      </x:c>
      <x:c r="E9" s="4" t="s">
        <x:v>9</x:v>
      </x:c>
      <x:c r="F9" s="9" t="str">
        <x:v>Erledigt</x:v>
      </x:c>
      <x:c r="G9" s="10" t="str">
        <x:v>Eigene 404-Seite vorhanden; unbekannte URL endet mit korrektem HTTP-404-Status.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>
      <x:c r="A10" s="4">
        <x:v>9</x:v>
      </x:c>
      <x:c r="B10" s="4" t="s">
        <x:v>7</x:v>
      </x:c>
      <x:c r="C10" s="4"/>
      <x:c r="D10" s="4" t="s">
        <x:v>17</x:v>
      </x:c>
      <x:c r="E10" s="4" t="s">
        <x:v>9</x:v>
      </x:c>
      <x:c r="F10" s="9" t="str">
        <x:v>Erledigt</x:v>
      </x:c>
      <x:c r="G10" s="10" t="str">
        <x:v>Lokale/Testumgebung ist mit blog_public=0 global nicht indexierbar.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0">
      <x:c r="A11" s="4">
        <x:v>10</x:v>
      </x:c>
      <x:c r="B11" s="4" t="s">
        <x:v>7</x:v>
      </x:c>
      <x:c r="C11" s="4"/>
      <x:c r="D11" s="4" t="s">
        <x:v>18</x:v>
      </x:c>
      <x:c r="E11" s="4" t="s">
        <x:v>9</x:v>
      </x:c>
      <x:c r="F11" s="9" t="str">
        <x:v>Offen</x:v>
      </x:c>
      <x:c r="G11" s="10" t="str">
        <x:v>Interne Links sind sauber; lokale Basis-URL muss beim Deployment auf die Domain ersetzt werden.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>
      <x:c r="A12" s="4">
        <x:v>11</x:v>
      </x:c>
      <x:c r="B12" s="4" t="s">
        <x:v>19</x:v>
      </x:c>
      <x:c r="C12" s="4"/>
      <x:c r="D12" s="4" t="s">
        <x:v>20</x:v>
      </x:c>
      <x:c r="E12" s="4" t="s">
        <x:v>9</x:v>
      </x:c>
      <x:c r="F12" s="9" t="str">
        <x:v>Erledigt</x:v>
      </x:c>
      <x:c r="G12" s="10" t="str">
        <x:v>WordPress 7.0.1 ist aktuell; Core-Prüfsummen am 16.07.2026 erfolgreich.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>
      <x:c r="A13" s="4">
        <x:v>12</x:v>
      </x:c>
      <x:c r="B13" s="4" t="s">
        <x:v>19</x:v>
      </x:c>
      <x:c r="C13" s="4"/>
      <x:c r="D13" s="4" t="s">
        <x:v>21</x:v>
      </x:c>
      <x:c r="E13" s="4" t="s">
        <x:v>9</x:v>
      </x:c>
      <x:c r="F13" s="9" t="str">
        <x:v>Erledigt</x:v>
      </x:c>
      <x:c r="G13" s="10" t="str">
        <x:v>WordPress 7.0.1 ist aktuell; Core-Prüfsummen am 16.07.2026 erfolgreich.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>
      <x:c r="A14" s="4">
        <x:v>13</x:v>
      </x:c>
      <x:c r="B14" s="4" t="s">
        <x:v>19</x:v>
      </x:c>
      <x:c r="C14" s="4"/>
      <x:c r="D14" s="4" t="s">
        <x:v>22</x:v>
      </x:c>
      <x:c r="E14" s="4" t="s">
        <x:v>9</x:v>
      </x:c>
      <x:c r="F14" s="9" t="str">
        <x:v>Nicht erledigt</x:v>
      </x:c>
      <x:c r="G14" s="10" t="str">
        <x:v>WPForms 1.9.9.4 hat Update 2.0.0; Lizenz-Site-Limit verhindert derzeit das Update.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>
      <x:c r="A15" s="4">
        <x:v>14</x:v>
      </x:c>
      <x:c r="B15" s="4" t="s">
        <x:v>19</x:v>
      </x:c>
      <x:c r="C15" s="4"/>
      <x:c r="D15" s="4" t="s">
        <x:v>23</x:v>
      </x:c>
      <x:c r="E15" s="4" t="s">
        <x:v>9</x:v>
      </x:c>
      <x:c r="F15" s="9" t="str">
        <x:v>Erledigt</x:v>
      </x:c>
      <x:c r="G15" s="10" t="str">
        <x:v>Aktives Custom-Theme geprüft; keine separate verfügbare Theme-Aktualisierung.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>
      <x:c r="A16" s="4">
        <x:v>15</x:v>
      </x:c>
      <x:c r="B16" s="4" t="s">
        <x:v>19</x:v>
      </x:c>
      <x:c r="C16" s="4"/>
      <x:c r="D16" s="4" t="s">
        <x:v>24</x:v>
      </x:c>
      <x:c r="E16" s="4" t="s">
        <x:v>9</x:v>
      </x:c>
      <x:c r="F16" s="9" t="str">
        <x:v>Erledigt</x:v>
      </x:c>
      <x:c r="G16" s="10" t="str">
        <x:v>Website-Titel „volksimmobilien km GmbH“ und Untertitel korrekt gesetzt.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>
      <x:c r="A17" s="4">
        <x:v>16</x:v>
      </x:c>
      <x:c r="B17" s="4" t="s">
        <x:v>19</x:v>
      </x:c>
      <x:c r="C17" s="4"/>
      <x:c r="D17" s="4" t="s">
        <x:v>25</x:v>
      </x:c>
      <x:c r="E17" s="4" t="s">
        <x:v>9</x:v>
      </x:c>
      <x:c r="F17" s="9" t="str">
        <x:v>Erledigt</x:v>
      </x:c>
      <x:c r="G17" s="10" t="str">
        <x:v>Zeitzone auf Europe/Berlin gesetzt.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>
      <x:c r="A18" s="4">
        <x:v>17</x:v>
      </x:c>
      <x:c r="B18" s="4" t="s">
        <x:v>19</x:v>
      </x:c>
      <x:c r="C18" s="4"/>
      <x:c r="D18" s="4" t="s">
        <x:v>26</x:v>
      </x:c>
      <x:c r="E18" s="4" t="s">
        <x:v>9</x:v>
      </x:c>
      <x:c r="F18" s="9" t="str">
        <x:v>Erledigt</x:v>
      </x:c>
      <x:c r="G18" s="10" t="str">
        <x:v>WordPress-Sprache de_DE gesetzt.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>
      <x:c r="A19" s="4">
        <x:v>18</x:v>
      </x:c>
      <x:c r="B19" s="4" t="s">
        <x:v>19</x:v>
      </x:c>
      <x:c r="C19" s="4"/>
      <x:c r="D19" s="4" t="s">
        <x:v>27</x:v>
      </x:c>
      <x:c r="E19" s="4" t="s">
        <x:v>9</x:v>
      </x:c>
      <x:c r="F19" s="9" t="str">
        <x:v>Erledigt</x:v>
      </x:c>
      <x:c r="G19" s="10" t="str">
        <x:v>Permalinkstruktur /%postname%/ aktiv; Rewrite-Regeln neu erzeugt.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>
      <x:c r="A20" s="4">
        <x:v>19</x:v>
      </x:c>
      <x:c r="B20" s="4" t="s">
        <x:v>19</x:v>
      </x:c>
      <x:c r="C20" s="4"/>
      <x:c r="D20" s="4" t="s">
        <x:v>28</x:v>
      </x:c>
      <x:c r="E20" s="4" t="s">
        <x:v>9</x:v>
      </x:c>
      <x:c r="F20" s="9" t="str">
        <x:v>Erledigt</x:v>
      </x:c>
      <x:c r="G20" s="10" t="str">
        <x:v>„Hello world“/Demo-Inhalte entfernt; nur vorgesehene Seiten vorhanden.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>
      <x:c r="A21" s="4">
        <x:v>20</x:v>
      </x:c>
      <x:c r="B21" s="4" t="s">
        <x:v>19</x:v>
      </x:c>
      <x:c r="C21" s="4"/>
      <x:c r="D21" s="4" t="s">
        <x:v>29</x:v>
      </x:c>
      <x:c r="E21" s="4" t="s">
        <x:v>9</x:v>
      </x:c>
      <x:c r="F21" s="9" t="str">
        <x:v>Erledigt</x:v>
      </x:c>
      <x:c r="G21" s="10" t="str">
        <x:v>Einziger Administrator heißt „leadwerk“; kein Benutzer „admin“.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>
      <x:c r="A22" s="4">
        <x:v>21</x:v>
      </x:c>
      <x:c r="B22" s="4" t="s">
        <x:v>19</x:v>
      </x:c>
      <x:c r="C22" s="4"/>
      <x:c r="D22" s="4" t="s">
        <x:v>30</x:v>
      </x:c>
      <x:c r="E22" s="4" t="s">
        <x:v>9</x:v>
      </x:c>
      <x:c r="F22" s="9" t="str">
        <x:v>Erledigt</x:v>
      </x:c>
      <x:c r="G22" s="10" t="str">
        <x:v>Nur ein benötigtes Administratorkonto vorhanden; Rollenbestand geprüft.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>
      <x:c r="A23" s="4">
        <x:v>22</x:v>
      </x:c>
      <x:c r="B23" s="4" t="s">
        <x:v>19</x:v>
      </x:c>
      <x:c r="C23" s="4"/>
      <x:c r="D23" s="4" t="s">
        <x:v>31</x:v>
      </x:c>
      <x:c r="E23" s="4" t="s">
        <x:v>9</x:v>
      </x:c>
      <x:c r="F23" s="9" t="str">
        <x:v>Erledigt</x:v>
      </x:c>
      <x:c r="G23" s="10" t="str">
        <x:v>Nur ein benötigtes Administratorkonto vorhanden; Rollenbestand geprüft.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>
      <x:c r="A24" s="4">
        <x:v>23</x:v>
      </x:c>
      <x:c r="B24" s="4" t="s">
        <x:v>19</x:v>
      </x:c>
      <x:c r="C24" s="4"/>
      <x:c r="D24" s="4" t="s">
        <x:v>32</x:v>
      </x:c>
      <x:c r="E24" s="4" t="s">
        <x:v>9</x:v>
      </x:c>
      <x:c r="F24" s="9" t="str">
        <x:v>Erledigt</x:v>
      </x:c>
      <x:c r="G24" s="10" t="str">
        <x:v>Website- und Formularadresse auf post@volks.immobilien vereinheitlicht.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>
      <x:c r="A25" s="4">
        <x:v>24</x:v>
      </x:c>
      <x:c r="B25" s="4" t="s">
        <x:v>19</x:v>
      </x:c>
      <x:c r="C25" s="4"/>
      <x:c r="D25" s="4" t="s">
        <x:v>33</x:v>
      </x:c>
      <x:c r="E25" s="4" t="s">
        <x:v>9</x:v>
      </x:c>
      <x:c r="F25" s="9" t="str">
        <x:v>Erledigt</x:v>
      </x:c>
      <x:c r="G25" s="10" t="str">
        <x:v>Manuelles SQL-Backup vor Änderungen erstellt: volksimmobilien-before-prelive.sql.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>
      <x:c r="A26" s="4">
        <x:v>25</x:v>
      </x:c>
      <x:c r="B26" s="4" t="s">
        <x:v>34</x:v>
      </x:c>
      <x:c r="C26" s="4"/>
      <x:c r="D26" s="4" t="s">
        <x:v>35</x:v>
      </x:c>
      <x:c r="E26" s="4" t="s">
        <x:v>9</x:v>
      </x:c>
      <x:c r="F26" s="9" t="str">
        <x:v>Erledigt</x:v>
      </x:c>
      <x:c r="G26" s="10" t="str">
        <x:v>Alle vorgesehenen Seiten sind veröffentlicht; Cookie-Richtlinie zusätzlich angelegt.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>
      <x:c r="A27" s="4">
        <x:v>26</x:v>
      </x:c>
      <x:c r="B27" s="4" t="s">
        <x:v>34</x:v>
      </x:c>
      <x:c r="C27" s="4"/>
      <x:c r="D27" s="4" t="s">
        <x:v>36</x:v>
      </x:c>
      <x:c r="E27" s="4" t="s">
        <x:v>9</x:v>
      </x:c>
      <x:c r="F27" s="9" t="str">
        <x:v>Erledigt</x:v>
      </x:c>
      <x:c r="G27" s="10" t="str">
        <x:v>Keine redaktionellen Beiträge vorgesehen; keine Demo-Beiträge öffentlich.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>
      <x:c r="A28" s="4">
        <x:v>27</x:v>
      </x:c>
      <x:c r="B28" s="4" t="s">
        <x:v>34</x:v>
      </x:c>
      <x:c r="C28" s="4"/>
      <x:c r="D28" s="4" t="s">
        <x:v>37</x:v>
      </x:c>
      <x:c r="E28" s="4" t="s">
        <x:v>9</x:v>
      </x:c>
      <x:c r="F28" s="9" t="str">
        <x:v>Erledigt</x:v>
      </x:c>
      <x:c r="G28" s="10" t="str">
        <x:v>Keine versehentlich öffentlichen Entwurfs- oder Testseiten gefunden.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>
      <x:c r="A29" s="4">
        <x:v>28</x:v>
      </x:c>
      <x:c r="B29" s="4" t="s">
        <x:v>34</x:v>
      </x:c>
      <x:c r="C29" s="4"/>
      <x:c r="D29" s="4" t="s">
        <x:v>38</x:v>
      </x:c>
      <x:c r="E29" s="4" t="s">
        <x:v>9</x:v>
      </x:c>
      <x:c r="F29" s="9" t="str">
        <x:v>Offen</x:v>
      </x:c>
      <x:c r="G29" s="10" t="str">
        <x:v>Technische Textprüfung und sichtbarer Tippfehler korrigiert; finales Lektorat/Freigabe ausstehend.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>
      <x:c r="A30" s="4">
        <x:v>29</x:v>
      </x:c>
      <x:c r="B30" s="4" t="s">
        <x:v>34</x:v>
      </x:c>
      <x:c r="C30" s="4"/>
      <x:c r="D30" s="4" t="s">
        <x:v>39</x:v>
      </x:c>
      <x:c r="E30" s="4" t="s">
        <x:v>9</x:v>
      </x:c>
      <x:c r="F30" s="9" t="str">
        <x:v>Offen</x:v>
      </x:c>
      <x:c r="G30" s="10" t="str">
        <x:v>Fachliche und inhaltliche Kundenfreigabe ist noch erforderlich.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>
      <x:c r="A31" s="4">
        <x:v>30</x:v>
      </x:c>
      <x:c r="B31" s="4" t="s">
        <x:v>34</x:v>
      </x:c>
      <x:c r="C31" s="4"/>
      <x:c r="D31" s="4" t="s">
        <x:v>40</x:v>
      </x:c>
      <x:c r="E31" s="4" t="s">
        <x:v>9</x:v>
      </x:c>
      <x:c r="F31" s="9" t="str">
        <x:v>Erledigt</x:v>
      </x:c>
      <x:c r="G31" s="10" t="str">
        <x:v>Keine Lorem-ipsum-/Platzhaltertexte in den öffentlichen Seiten gefunden.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>
      <x:c r="A32" s="4">
        <x:v>31</x:v>
      </x:c>
      <x:c r="B32" s="4" t="s">
        <x:v>34</x:v>
      </x:c>
      <x:c r="C32" s="4"/>
      <x:c r="D32" s="4" t="s">
        <x:v>41</x:v>
      </x:c>
      <x:c r="E32" s="4" t="s">
        <x:v>9</x:v>
      </x:c>
      <x:c r="F32" s="9" t="str">
        <x:v>Erledigt</x:v>
      </x:c>
      <x:c r="G32" s="10" t="str">
        <x:v>Alle Hauptseiten haben genau eine H1 und eine nachvollziehbare H2/H3-Struktur.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>
      <x:c r="A33" s="4">
        <x:v>32</x:v>
      </x:c>
      <x:c r="B33" s="4" t="s">
        <x:v>34</x:v>
      </x:c>
      <x:c r="C33" s="4"/>
      <x:c r="D33" s="4" t="s">
        <x:v>42</x:v>
      </x:c>
      <x:c r="E33" s="4" t="s">
        <x:v>9</x:v>
      </x:c>
      <x:c r="F33" s="9" t="str">
        <x:v>Erledigt</x:v>
      </x:c>
      <x:c r="G33" s="10" t="str">
        <x:v>Lokaler Crawl: 10 Seiten, 130 Ressourcen, 0 Ladefehler.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>
      <x:c r="A34" s="4">
        <x:v>33</x:v>
      </x:c>
      <x:c r="B34" s="4" t="s">
        <x:v>34</x:v>
      </x:c>
      <x:c r="C34" s="4"/>
      <x:c r="D34" s="4" t="s">
        <x:v>43</x:v>
      </x:c>
      <x:c r="E34" s="4" t="s">
        <x:v>9</x:v>
      </x:c>
      <x:c r="F34" s="9" t="str">
        <x:v>Erledigt</x:v>
      </x:c>
      <x:c r="G34" s="10" t="str">
        <x:v>Bild-Alt-Texte geprüft; leere Alt-Werte nur bei dekorativen UI-Symbolen.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>
      <x:c r="A35" s="4">
        <x:v>34</x:v>
      </x:c>
      <x:c r="B35" s="4" t="s">
        <x:v>34</x:v>
      </x:c>
      <x:c r="C35" s="4"/>
      <x:c r="D35" s="4" t="s">
        <x:v>44</x:v>
      </x:c>
      <x:c r="E35" s="4" t="s">
        <x:v>9</x:v>
      </x:c>
      <x:c r="F35" s="9" t="str">
        <x:v>Erledigt</x:v>
      </x:c>
      <x:c r="G35" s="10" t="str">
        <x:v>Keine öffentlichen PDF-/Download-Links vorhanden; daher nicht anwendbar.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>
      <x:c r="A36" s="4">
        <x:v>35</x:v>
      </x:c>
      <x:c r="B36" s="4" t="s">
        <x:v>34</x:v>
      </x:c>
      <x:c r="C36" s="4"/>
      <x:c r="D36" s="4" t="s">
        <x:v>45</x:v>
      </x:c>
      <x:c r="E36" s="4" t="s">
        <x:v>9</x:v>
      </x:c>
      <x:c r="F36" s="9" t="str">
        <x:v>Erledigt</x:v>
      </x:c>
      <x:c r="G36" s="10" t="str">
        <x:v>Interne Links auf sprechende Permalinks umgestellt und per Crawl geprüft.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>
      <x:c r="A37" s="4">
        <x:v>36</x:v>
      </x:c>
      <x:c r="B37" s="4" t="s">
        <x:v>34</x:v>
      </x:c>
      <x:c r="C37" s="4"/>
      <x:c r="D37" s="4" t="s">
        <x:v>46</x:v>
      </x:c>
      <x:c r="E37" s="4" t="s">
        <x:v>9</x:v>
      </x:c>
      <x:c r="F37" s="9" t="str">
        <x:v>Erledigt</x:v>
      </x:c>
      <x:c r="G37" s="10" t="str">
        <x:v>Externe sichtbare Links und Zieladressen stichprobenartig geprüft.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>
      <x:c r="A38" s="4">
        <x:v>37</x:v>
      </x:c>
      <x:c r="B38" s="4" t="s">
        <x:v>34</x:v>
      </x:c>
      <x:c r="C38" s="4"/>
      <x:c r="D38" s="4" t="s">
        <x:v>47</x:v>
      </x:c>
      <x:c r="E38" s="4" t="s">
        <x:v>9</x:v>
      </x:c>
      <x:c r="F38" s="9" t="str">
        <x:v>Erledigt</x:v>
      </x:c>
      <x:c r="G38" s="10" t="str">
        <x:v>Vollständiger lokaler Crawl ohne defekte Seiten oder Ressourcen.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>
      <x:c r="A39" s="4">
        <x:v>38</x:v>
      </x:c>
      <x:c r="B39" s="4" t="s">
        <x:v>34</x:v>
      </x:c>
      <x:c r="C39" s="4"/>
      <x:c r="D39" s="4" t="s">
        <x:v>48</x:v>
      </x:c>
      <x:c r="E39" s="4" t="s">
        <x:v>9</x:v>
      </x:c>
      <x:c r="F39" s="9" t="str">
        <x:v>Erledigt</x:v>
      </x:c>
      <x:c r="G39" s="10" t="str">
        <x:v>Firma, Adresse, Telefon und E-Mail auf allen geprüften Seiten konsistent.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>
      <x:c r="A40" s="4">
        <x:v>39</x:v>
      </x:c>
      <x:c r="B40" s="4" t="s">
        <x:v>34</x:v>
      </x:c>
      <x:c r="C40" s="4"/>
      <x:c r="D40" s="4" t="s">
        <x:v>49</x:v>
      </x:c>
      <x:c r="E40" s="4" t="s">
        <x:v>9</x:v>
      </x:c>
      <x:c r="F40" s="9" t="str">
        <x:v>Erledigt</x:v>
      </x:c>
      <x:c r="G40" s="10" t="str">
        <x:v>Telefonlinks verwenden tel:+491702985141 und sind mobil bedienbar.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>
      <x:c r="A41" s="4">
        <x:v>40</x:v>
      </x:c>
      <x:c r="B41" s="4" t="s">
        <x:v>34</x:v>
      </x:c>
      <x:c r="C41" s="4"/>
      <x:c r="D41" s="4" t="s">
        <x:v>50</x:v>
      </x:c>
      <x:c r="E41" s="4" t="s">
        <x:v>9</x:v>
      </x:c>
      <x:c r="F41" s="9" t="str">
        <x:v>Erledigt</x:v>
      </x:c>
      <x:c r="G41" s="10" t="str">
        <x:v>Mailto-Links einheitlich auf post@volks.immobilien.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>
      <x:c r="A42" s="4">
        <x:v>41</x:v>
      </x:c>
      <x:c r="B42" s="4" t="s">
        <x:v>34</x:v>
      </x:c>
      <x:c r="C42" s="4"/>
      <x:c r="D42" s="4" t="s">
        <x:v>51</x:v>
      </x:c>
      <x:c r="E42" s="4" t="s">
        <x:v>9</x:v>
      </x:c>
      <x:c r="F42" s="9" t="str">
        <x:v>Erledigt</x:v>
      </x:c>
      <x:c r="G42" s="10" t="str">
        <x:v>Adresse aktuell; Terminangabe lautet nachvollziehbar „nach Absprache“.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30">
      <x:c r="A43" s="4">
        <x:v>42</x:v>
      </x:c>
      <x:c r="B43" s="4" t="s">
        <x:v>34</x:v>
      </x:c>
      <x:c r="C43" s="4"/>
      <x:c r="D43" s="4" t="s">
        <x:v>52</x:v>
      </x:c>
      <x:c r="E43" s="4" t="s">
        <x:v>9</x:v>
      </x:c>
      <x:c r="F43" s="9" t="str">
        <x:v>Nicht erledigt</x:v>
      </x:c>
      <x:c r="G43" s="10" t="str">
        <x:v>Seiten sind erreichbar, aber Impressum/Datenschutz benötigen inhaltliche und juristische Ergänzung.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>
      <x:c r="A44" s="4">
        <x:v>43</x:v>
      </x:c>
      <x:c r="B44" s="4" t="s">
        <x:v>53</x:v>
      </x:c>
      <x:c r="C44" s="4"/>
      <x:c r="D44" s="4" t="s">
        <x:v>54</x:v>
      </x:c>
      <x:c r="E44" s="4" t="s">
        <x:v>9</x:v>
      </x:c>
      <x:c r="F44" s="9" t="str">
        <x:v>Erledigt</x:v>
      </x:c>
      <x:c r="G44" s="10" t="str">
        <x:v>Desktop 1440×900, Tablet 768×1024 und Mobil 390×844 ohne Überlauf geprüft.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>
      <x:c r="A45" s="4">
        <x:v>44</x:v>
      </x:c>
      <x:c r="B45" s="4" t="s">
        <x:v>53</x:v>
      </x:c>
      <x:c r="C45" s="4"/>
      <x:c r="D45" s="4" t="s">
        <x:v>55</x:v>
      </x:c>
      <x:c r="E45" s="4" t="s">
        <x:v>9</x:v>
      </x:c>
      <x:c r="F45" s="9" t="str">
        <x:v>Offen</x:v>
      </x:c>
      <x:c r="G45" s="10" t="str">
        <x:v>Chrome/Chromium geprüft; Safari, Firefox und Edge stehen noch aus.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>
      <x:c r="A46" s="4">
        <x:v>45</x:v>
      </x:c>
      <x:c r="B46" s="4" t="s">
        <x:v>53</x:v>
      </x:c>
      <x:c r="C46" s="4"/>
      <x:c r="D46" s="4" t="s">
        <x:v>56</x:v>
      </x:c>
      <x:c r="E46" s="4" t="s">
        <x:v>9</x:v>
      </x:c>
      <x:c r="F46" s="9" t="str">
        <x:v>Erledigt</x:v>
      </x:c>
      <x:c r="G46" s="10" t="str">
        <x:v>Darstellung und Interaktionen in Chromium/Chrome erfolgreich getestet.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>
      <x:c r="A47" s="4">
        <x:v>46</x:v>
      </x:c>
      <x:c r="B47" s="4" t="s">
        <x:v>53</x:v>
      </x:c>
      <x:c r="C47" s="4"/>
      <x:c r="D47" s="4" t="s">
        <x:v>57</x:v>
      </x:c>
      <x:c r="E47" s="4" t="s">
        <x:v>9</x:v>
      </x:c>
      <x:c r="F47" s="9" t="str">
        <x:v>Offen</x:v>
      </x:c>
      <x:c r="G47" s="10" t="str">
        <x:v>Browser-spezifischer Test auf diesem Browser steht noch aus.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>
      <x:c r="A48" s="4">
        <x:v>47</x:v>
      </x:c>
      <x:c r="B48" s="4" t="s">
        <x:v>53</x:v>
      </x:c>
      <x:c r="C48" s="4"/>
      <x:c r="D48" s="4" t="s">
        <x:v>58</x:v>
      </x:c>
      <x:c r="E48" s="4" t="s">
        <x:v>9</x:v>
      </x:c>
      <x:c r="F48" s="9" t="str">
        <x:v>Offen</x:v>
      </x:c>
      <x:c r="G48" s="10" t="str">
        <x:v>Browser-spezifischer Test auf diesem Browser steht noch aus.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>
      <x:c r="A49" s="4">
        <x:v>48</x:v>
      </x:c>
      <x:c r="B49" s="4" t="s">
        <x:v>53</x:v>
      </x:c>
      <x:c r="C49" s="4"/>
      <x:c r="D49" s="4" t="s">
        <x:v>59</x:v>
      </x:c>
      <x:c r="E49" s="4" t="s">
        <x:v>9</x:v>
      </x:c>
      <x:c r="F49" s="9" t="str">
        <x:v>Offen</x:v>
      </x:c>
      <x:c r="G49" s="10" t="str">
        <x:v>Browser-spezifischer Test auf diesem Browser steht noch aus.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>
      <x:c r="A50" s="4">
        <x:v>49</x:v>
      </x:c>
      <x:c r="B50" s="4" t="s">
        <x:v>53</x:v>
      </x:c>
      <x:c r="C50" s="4"/>
      <x:c r="D50" s="4" t="s">
        <x:v>60</x:v>
      </x:c>
      <x:c r="E50" s="4" t="s">
        <x:v>9</x:v>
      </x:c>
      <x:c r="F50" s="9" t="str">
        <x:v>Erledigt</x:v>
      </x:c>
      <x:c r="G50" s="10" t="str">
        <x:v>Hauptnavigation und alle Menüziele funktionieren.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>
      <x:c r="A51" s="4">
        <x:v>50</x:v>
      </x:c>
      <x:c r="B51" s="4" t="s">
        <x:v>53</x:v>
      </x:c>
      <x:c r="C51" s="4"/>
      <x:c r="D51" s="4" t="s">
        <x:v>61</x:v>
      </x:c>
      <x:c r="E51" s="4" t="s">
        <x:v>9</x:v>
      </x:c>
      <x:c r="F51" s="9" t="str">
        <x:v>Erledigt</x:v>
      </x:c>
      <x:c r="G51" s="10" t="str">
        <x:v>Burger-Menü inkl. Fokus, ARIA-Zustand und Escape-Schließen geprüft und verbessert.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>
      <x:c r="A52" s="4">
        <x:v>51</x:v>
      </x:c>
      <x:c r="B52" s="4" t="s">
        <x:v>53</x:v>
      </x:c>
      <x:c r="C52" s="4"/>
      <x:c r="D52" s="4" t="s">
        <x:v>62</x:v>
      </x:c>
      <x:c r="E52" s="4" t="s">
        <x:v>9</x:v>
      </x:c>
      <x:c r="F52" s="9" t="str">
        <x:v>Erledigt</x:v>
      </x:c>
      <x:c r="G52" s="10" t="str">
        <x:v>Header und Footer vollständig, responsive und mit korrekten Links geprüft.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>
      <x:c r="A53" s="4">
        <x:v>52</x:v>
      </x:c>
      <x:c r="B53" s="4" t="s">
        <x:v>53</x:v>
      </x:c>
      <x:c r="C53" s="4"/>
      <x:c r="D53" s="4" t="s">
        <x:v>63</x:v>
      </x:c>
      <x:c r="E53" s="4" t="s">
        <x:v>9</x:v>
      </x:c>
      <x:c r="F53" s="9" t="str">
        <x:v>Erledigt</x:v>
      </x:c>
      <x:c r="G53" s="10" t="str">
        <x:v>Header und Footer vollständig, responsive und mit korrekten Links geprüft.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>
      <x:c r="A54" s="4">
        <x:v>53</x:v>
      </x:c>
      <x:c r="B54" s="4" t="s">
        <x:v>53</x:v>
      </x:c>
      <x:c r="C54" s="4"/>
      <x:c r="D54" s="4" t="s">
        <x:v>64</x:v>
      </x:c>
      <x:c r="E54" s="4" t="s">
        <x:v>9</x:v>
      </x:c>
      <x:c r="F54" s="9" t="str">
        <x:v>Erledigt</x:v>
      </x:c>
      <x:c r="G54" s="10" t="str">
        <x:v>CTAs und Buttons auf den Hauptseiten sowie im Wizard getestet.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>
      <x:c r="A55" s="4">
        <x:v>54</x:v>
      </x:c>
      <x:c r="B55" s="4" t="s">
        <x:v>53</x:v>
      </x:c>
      <x:c r="C55" s="4"/>
      <x:c r="D55" s="4" t="s">
        <x:v>65</x:v>
      </x:c>
      <x:c r="E55" s="4" t="s">
        <x:v>9</x:v>
      </x:c>
      <x:c r="F55" s="9" t="str">
        <x:v>Erledigt</x:v>
      </x:c>
      <x:c r="G55" s="10" t="str">
        <x:v>Keine Layout-Brüche, Überlagerungen oder horizontalen Überläufe gefunden.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>
      <x:c r="A56" s="4">
        <x:v>55</x:v>
      </x:c>
      <x:c r="B56" s="4" t="s">
        <x:v>53</x:v>
      </x:c>
      <x:c r="C56" s="4"/>
      <x:c r="D56" s="4" t="s">
        <x:v>66</x:v>
      </x:c>
      <x:c r="E56" s="4" t="s">
        <x:v>9</x:v>
      </x:c>
      <x:c r="F56" s="9" t="str">
        <x:v>Erledigt</x:v>
      </x:c>
      <x:c r="G56" s="10" t="str">
        <x:v>Keine Layout-Brüche, Überlagerungen oder horizontalen Überläufe gefunden.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>
      <x:c r="A57" s="4">
        <x:v>56</x:v>
      </x:c>
      <x:c r="B57" s="4" t="s">
        <x:v>53</x:v>
      </x:c>
      <x:c r="C57" s="4"/>
      <x:c r="D57" s="4" t="s">
        <x:v>67</x:v>
      </x:c>
      <x:c r="E57" s="4" t="s">
        <x:v>9</x:v>
      </x:c>
      <x:c r="F57" s="9" t="str">
        <x:v>Erledigt</x:v>
      </x:c>
      <x:c r="G57" s="10" t="str">
        <x:v>DM Sans und Plus Jakarta Sans lokal als WOFF2 eingebunden; keine Google-Font-Anfrage.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>
      <x:c r="A58" s="4">
        <x:v>57</x:v>
      </x:c>
      <x:c r="B58" s="4" t="s">
        <x:v>53</x:v>
      </x:c>
      <x:c r="C58" s="4"/>
      <x:c r="D58" s="4" t="s">
        <x:v>68</x:v>
      </x:c>
      <x:c r="E58" s="4" t="s">
        <x:v>9</x:v>
      </x:c>
      <x:c r="F58" s="9" t="str">
        <x:v>Erledigt</x:v>
      </x:c>
      <x:c r="G58" s="10" t="str">
        <x:v>Hover-/Fokuszustände der zentralen Links, Buttons und Karten geprüft.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>
      <x:c r="A59" s="4">
        <x:v>58</x:v>
      </x:c>
      <x:c r="B59" s="4" t="s">
        <x:v>53</x:v>
      </x:c>
      <x:c r="C59" s="4"/>
      <x:c r="D59" s="4" t="s">
        <x:v>69</x:v>
      </x:c>
      <x:c r="E59" s="4" t="s">
        <x:v>9</x:v>
      </x:c>
      <x:c r="F59" s="9" t="str">
        <x:v>Erledigt</x:v>
      </x:c>
      <x:c r="G59" s="10" t="str">
        <x:v>FAQ-Akkordeons, Slider, mobile Navigation und Bewertungs-Wizard getestet.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>
      <x:c r="A60" s="4">
        <x:v>59</x:v>
      </x:c>
      <x:c r="B60" s="4" t="s">
        <x:v>53</x:v>
      </x:c>
      <x:c r="C60" s="4"/>
      <x:c r="D60" s="4" t="s">
        <x:v>70</x:v>
      </x:c>
      <x:c r="E60" s="4" t="s">
        <x:v>9</x:v>
      </x:c>
      <x:c r="F60" s="9" t="str">
        <x:v>Erledigt</x:v>
      </x:c>
      <x:c r="G60" s="10" t="str">
        <x:v>Favicon und Logo laden korrekt und sind in Header/Footer eingebunden.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>
      <x:c r="A61" s="4">
        <x:v>60</x:v>
      </x:c>
      <x:c r="B61" s="4" t="s">
        <x:v>53</x:v>
      </x:c>
      <x:c r="C61" s="4"/>
      <x:c r="D61" s="4" t="s">
        <x:v>71</x:v>
      </x:c>
      <x:c r="E61" s="4" t="s">
        <x:v>9</x:v>
      </x:c>
      <x:c r="F61" s="9" t="str">
        <x:v>Erledigt</x:v>
      </x:c>
      <x:c r="G61" s="10" t="str">
        <x:v>Favicon und Logo laden korrekt und sind in Header/Footer eingebunden.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30">
      <x:c r="A62" s="4">
        <x:v>61</x:v>
      </x:c>
      <x:c r="B62" s="4" t="s">
        <x:v>72</x:v>
      </x:c>
      <x:c r="C62" s="4"/>
      <x:c r="D62" s="4" t="s">
        <x:v>73</x:v>
      </x:c>
      <x:c r="E62" s="4" t="s">
        <x:v>9</x:v>
      </x:c>
      <x:c r="F62" s="9" t="str">
        <x:v>Erledigt</x:v>
      </x:c>
      <x:c r="G62" s="10" t="str">
        <x:v>WPForms-Kontaktformular und 7-stufiger Bewertungs-Wizard vollständig getestet.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30">
      <x:c r="A63" s="4">
        <x:v>62</x:v>
      </x:c>
      <x:c r="B63" s="4" t="s">
        <x:v>72</x:v>
      </x:c>
      <x:c r="C63" s="4"/>
      <x:c r="D63" s="4" t="s">
        <x:v>74</x:v>
      </x:c>
      <x:c r="E63" s="4" t="s">
        <x:v>9</x:v>
      </x:c>
      <x:c r="F63" s="9" t="str">
        <x:v>Erledigt</x:v>
      </x:c>
      <x:c r="G63" s="10" t="str">
        <x:v>Kontaktformular sendet, speichert und leitet auf /danke/ weiter.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30">
      <x:c r="A64" s="4">
        <x:v>63</x:v>
      </x:c>
      <x:c r="B64" s="4" t="s">
        <x:v>72</x:v>
      </x:c>
      <x:c r="C64" s="4"/>
      <x:c r="D64" s="4" t="s">
        <x:v>75</x:v>
      </x:c>
      <x:c r="E64" s="4" t="s">
        <x:v>9</x:v>
      </x:c>
      <x:c r="F64" s="9" t="str">
        <x:v>Erledigt</x:v>
      </x:c>
      <x:c r="G64" s="10" t="str">
        <x:v>Pflichtfelder und Validierung im Kontaktformular/Wizard geprüft.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30">
      <x:c r="A65" s="4">
        <x:v>64</x:v>
      </x:c>
      <x:c r="B65" s="4" t="s">
        <x:v>72</x:v>
      </x:c>
      <x:c r="C65" s="4"/>
      <x:c r="D65" s="4" t="s">
        <x:v>76</x:v>
      </x:c>
      <x:c r="E65" s="4" t="s">
        <x:v>9</x:v>
      </x:c>
      <x:c r="F65" s="9" t="str">
        <x:v>Erledigt</x:v>
      </x:c>
      <x:c r="G65" s="10" t="str">
        <x:v>Verständliche Validierungs- und Server-Fehlermeldungen vorhanden.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30">
      <x:c r="A66" s="4">
        <x:v>65</x:v>
      </x:c>
      <x:c r="B66" s="4" t="s">
        <x:v>72</x:v>
      </x:c>
      <x:c r="C66" s="4"/>
      <x:c r="D66" s="4" t="s">
        <x:v>77</x:v>
      </x:c>
      <x:c r="E66" s="4" t="s">
        <x:v>9</x:v>
      </x:c>
      <x:c r="F66" s="9" t="str">
        <x:v>Erledigt</x:v>
      </x:c>
      <x:c r="G66" s="10" t="str">
        <x:v>Erfolg erscheint nur nach akzeptierter Server-Anfrage; Wizard-Fehlverhalten behoben.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30">
      <x:c r="A67" s="4">
        <x:v>66</x:v>
      </x:c>
      <x:c r="B67" s="4" t="s">
        <x:v>72</x:v>
      </x:c>
      <x:c r="C67" s="4"/>
      <x:c r="D67" s="4" t="s">
        <x:v>78</x:v>
      </x:c>
      <x:c r="E67" s="4" t="s">
        <x:v>9</x:v>
      </x:c>
      <x:c r="F67" s="9" t="str">
        <x:v>Erledigt</x:v>
      </x:c>
      <x:c r="G67" s="10" t="str">
        <x:v>WPForms-AJAX-Weiterleitung auf /danke/ ist konfiguriert und getestet.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30">
      <x:c r="A68" s="4">
        <x:v>67</x:v>
      </x:c>
      <x:c r="B68" s="4" t="s">
        <x:v>72</x:v>
      </x:c>
      <x:c r="C68" s="4"/>
      <x:c r="D68" s="4" t="s">
        <x:v>79</x:v>
      </x:c>
      <x:c r="E68" s="4" t="s">
        <x:v>9</x:v>
      </x:c>
      <x:c r="F68" s="9" t="str">
        <x:v>Erledigt</x:v>
      </x:c>
      <x:c r="G68" s="10" t="str">
        <x:v>WPForms-AJAX-Weiterleitung auf /danke/ ist konfiguriert und getestet.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30">
      <x:c r="A69" s="4">
        <x:v>68</x:v>
      </x:c>
      <x:c r="B69" s="4" t="s">
        <x:v>72</x:v>
      </x:c>
      <x:c r="C69" s="4"/>
      <x:c r="D69" s="4" t="s">
        <x:v>80</x:v>
      </x:c>
      <x:c r="E69" s="4" t="s">
        <x:v>9</x:v>
      </x:c>
      <x:c r="F69" s="9" t="str">
        <x:v>Erledigt</x:v>
      </x:c>
      <x:c r="G69" s="10" t="str">
        <x:v>Dankeseite ist veröffentlicht, erreichbar und liefert HTTP 200.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30">
      <x:c r="A70" s="4">
        <x:v>69</x:v>
      </x:c>
      <x:c r="B70" s="4" t="s">
        <x:v>72</x:v>
      </x:c>
      <x:c r="C70" s="4"/>
      <x:c r="D70" s="4" t="s">
        <x:v>81</x:v>
      </x:c>
      <x:c r="E70" s="4" t="s">
        <x:v>9</x:v>
      </x:c>
      <x:c r="F70" s="9" t="str">
        <x:v>Erledigt</x:v>
      </x:c>
      <x:c r="G70" s="10" t="str">
        <x:v>Dankeseite ist veröffentlicht, erreichbar und liefert HTTP 200.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30">
      <x:c r="A71" s="4">
        <x:v>70</x:v>
      </x:c>
      <x:c r="B71" s="4" t="s">
        <x:v>72</x:v>
      </x:c>
      <x:c r="C71" s="4"/>
      <x:c r="D71" s="4" t="s">
        <x:v>82</x:v>
      </x:c>
      <x:c r="E71" s="4" t="s">
        <x:v>9</x:v>
      </x:c>
      <x:c r="F71" s="9" t="str">
        <x:v>Erledigt</x:v>
      </x:c>
      <x:c r="G71" s="10" t="str">
        <x:v>Dankeseite ist nicht in der Hauptnavigation verlinkt.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30">
      <x:c r="A72" s="4">
        <x:v>71</x:v>
      </x:c>
      <x:c r="B72" s="4" t="s">
        <x:v>72</x:v>
      </x:c>
      <x:c r="C72" s="4"/>
      <x:c r="D72" s="4" t="s">
        <x:v>83</x:v>
      </x:c>
      <x:c r="E72" s="4" t="s">
        <x:v>9</x:v>
      </x:c>
      <x:c r="F72" s="9" t="str">
        <x:v>Erledigt</x:v>
      </x:c>
      <x:c r="G72" s="10" t="str">
        <x:v>Dankeseite hat Yoast-noindex=1.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30">
      <x:c r="A73" s="4">
        <x:v>72</x:v>
      </x:c>
      <x:c r="B73" s="4" t="s">
        <x:v>72</x:v>
      </x:c>
      <x:c r="C73" s="4"/>
      <x:c r="D73" s="4" t="s">
        <x:v>84</x:v>
      </x:c>
      <x:c r="E73" s="4" t="s">
        <x:v>9</x:v>
      </x:c>
      <x:c r="F73" s="9" t="str">
        <x:v>Erledigt</x:v>
      </x:c>
      <x:c r="G73" s="10" t="str">
        <x:v>Absender auf post@volks.immobilien mit passendem Firmennamen gesetzt.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30">
      <x:c r="A74" s="4">
        <x:v>73</x:v>
      </x:c>
      <x:c r="B74" s="4" t="s">
        <x:v>72</x:v>
      </x:c>
      <x:c r="C74" s="4"/>
      <x:c r="D74" s="4" t="s">
        <x:v>85</x:v>
      </x:c>
      <x:c r="E74" s="4" t="s">
        <x:v>9</x:v>
      </x:c>
      <x:c r="F74" s="9" t="str">
        <x:v>Erledigt</x:v>
      </x:c>
      <x:c r="G74" s="10" t="str">
        <x:v>Empfänger für Kontaktformular und Wizard ist post@volks.immobilien.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30">
      <x:c r="A75" s="4">
        <x:v>74</x:v>
      </x:c>
      <x:c r="B75" s="4" t="s">
        <x:v>72</x:v>
      </x:c>
      <x:c r="C75" s="4"/>
      <x:c r="D75" s="4" t="s">
        <x:v>86</x:v>
      </x:c>
      <x:c r="E75" s="4" t="s">
        <x:v>9</x:v>
      </x:c>
      <x:c r="F75" s="9" t="str">
        <x:v>Erledigt</x:v>
      </x:c>
      <x:c r="G75" s="10" t="str">
        <x:v>Keine fachlich unnötigen CC/BCC-Empfänger konfiguriert.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30">
      <x:c r="A76" s="4">
        <x:v>75</x:v>
      </x:c>
      <x:c r="B76" s="4" t="s">
        <x:v>72</x:v>
      </x:c>
      <x:c r="C76" s="4"/>
      <x:c r="D76" s="4" t="s">
        <x:v>87</x:v>
      </x:c>
      <x:c r="E76" s="4" t="s">
        <x:v>9</x:v>
      </x:c>
      <x:c r="F76" s="9" t="str">
        <x:v>Nicht erledigt</x:v>
      </x:c>
      <x:c r="G76" s="10" t="str">
        <x:v>Produktiver SMTP-Anbieter/Host fehlt; aktuell nur PHP-Mail/Local-Mailpit.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30">
      <x:c r="A77" s="4">
        <x:v>76</x:v>
      </x:c>
      <x:c r="B77" s="4" t="s">
        <x:v>72</x:v>
      </x:c>
      <x:c r="C77" s="4"/>
      <x:c r="D77" s="4" t="s">
        <x:v>88</x:v>
      </x:c>
      <x:c r="E77" s="4" t="s">
        <x:v>9</x:v>
      </x:c>
      <x:c r="F77" s="9" t="str">
        <x:v>Erledigt</x:v>
      </x:c>
      <x:c r="G77" s="10" t="str">
        <x:v>Datenschutzhinweis und erforderliche Zustimmungscheckbox in beiden Formularflüssen vorhanden.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30">
      <x:c r="A78" s="4">
        <x:v>77</x:v>
      </x:c>
      <x:c r="B78" s="4" t="s">
        <x:v>72</x:v>
      </x:c>
      <x:c r="C78" s="4"/>
      <x:c r="D78" s="4" t="s">
        <x:v>89</x:v>
      </x:c>
      <x:c r="E78" s="4" t="s">
        <x:v>9</x:v>
      </x:c>
      <x:c r="F78" s="9" t="str">
        <x:v>Erledigt</x:v>
      </x:c>
      <x:c r="G78" s="10" t="str">
        <x:v>Datenschutzhinweis und erforderliche Zustimmungscheckbox in beiden Formularflüssen vorhanden.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30">
      <x:c r="A79" s="4">
        <x:v>78</x:v>
      </x:c>
      <x:c r="B79" s="4" t="s">
        <x:v>72</x:v>
      </x:c>
      <x:c r="C79" s="4"/>
      <x:c r="D79" s="4" t="s">
        <x:v>90</x:v>
      </x:c>
      <x:c r="E79" s="4" t="s">
        <x:v>9</x:v>
      </x:c>
      <x:c r="F79" s="9" t="str">
        <x:v>Erledigt</x:v>
      </x:c>
      <x:c r="G79" s="10" t="str">
        <x:v>WPForms Anti-Spam-Token, Mindestzeit und reCAPTCHA v3 konfiguriert.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30">
      <x:c r="A80" s="4">
        <x:v>79</x:v>
      </x:c>
      <x:c r="B80" s="4" t="s">
        <x:v>72</x:v>
      </x:c>
      <x:c r="C80" s="4"/>
      <x:c r="D80" s="4" t="s">
        <x:v>91</x:v>
      </x:c>
      <x:c r="E80" s="4" t="s">
        <x:v>9</x:v>
      </x:c>
      <x:c r="F80" s="9" t="str">
        <x:v>Erledigt</x:v>
      </x:c>
      <x:c r="G80" s="10" t="str">
        <x:v>Moderne WPForms-Anti-Spam-Technik aktiv; klassischer Honeypot dadurch nicht erforderlich.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30">
      <x:c r="A81" s="4">
        <x:v>80</x:v>
      </x:c>
      <x:c r="B81" s="4" t="s">
        <x:v>72</x:v>
      </x:c>
      <x:c r="C81" s="4"/>
      <x:c r="D81" s="4" t="s">
        <x:v>92</x:v>
      </x:c>
      <x:c r="E81" s="4" t="s">
        <x:v>9</x:v>
      </x:c>
      <x:c r="F81" s="9" t="str">
        <x:v>Offen</x:v>
      </x:c>
      <x:c r="G81" s="10" t="str">
        <x:v>reCAPTCHA v3 ist aktiv und consent-gesteuert; Schlüssel muss auf der Produktivdomain geprüft werden.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30">
      <x:c r="A82" s="4">
        <x:v>81</x:v>
      </x:c>
      <x:c r="B82" s="4" t="s">
        <x:v>72</x:v>
      </x:c>
      <x:c r="C82" s="4"/>
      <x:c r="D82" s="4" t="s">
        <x:v>93</x:v>
      </x:c>
      <x:c r="E82" s="4" t="s">
        <x:v>9</x:v>
      </x:c>
      <x:c r="F82" s="9" t="str">
        <x:v>Erledigt</x:v>
      </x:c>
      <x:c r="G82" s="10" t="str">
        <x:v>Keine Datei-Upload-Felder vorhanden; daher nicht anwendbar.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30">
      <x:c r="A83" s="4">
        <x:v>82</x:v>
      </x:c>
      <x:c r="B83" s="4" t="s">
        <x:v>72</x:v>
      </x:c>
      <x:c r="C83" s="4"/>
      <x:c r="D83" s="4" t="s">
        <x:v>94</x:v>
      </x:c>
      <x:c r="E83" s="4" t="s">
        <x:v>9</x:v>
      </x:c>
      <x:c r="F83" s="9" t="str">
        <x:v>Offen</x:v>
      </x:c>
      <x:c r="G83" s="10" t="str">
        <x:v>Frischer Consent-Zustand getestet; separater echter Inkognito-Formsubmit steht noch aus.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30">
      <x:c r="A84" s="4">
        <x:v>83</x:v>
      </x:c>
      <x:c r="B84" s="4" t="s">
        <x:v>72</x:v>
      </x:c>
      <x:c r="C84" s="4"/>
      <x:c r="D84" s="4" t="s">
        <x:v>95</x:v>
      </x:c>
      <x:c r="E84" s="4" t="s">
        <x:v>9</x:v>
      </x:c>
      <x:c r="F84" s="9" t="str">
        <x:v>Erledigt</x:v>
      </x:c>
      <x:c r="G84" s="10" t="str">
        <x:v>Formulare auf 390-px-Mobilansicht ohne Layout-/Bedienproblem geprüft.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30">
      <x:c r="A85" s="4">
        <x:v>84</x:v>
      </x:c>
      <x:c r="B85" s="4" t="s">
        <x:v>72</x:v>
      </x:c>
      <x:c r="C85" s="4" t="s">
        <x:v>96</x:v>
      </x:c>
      <x:c r="D85" s="4" t="s">
        <x:v>97</x:v>
      </x:c>
      <x:c r="E85" s="4" t="s">
        <x:v>9</x:v>
      </x:c>
      <x:c r="F85" s="9" t="str">
        <x:v>Erledigt</x:v>
      </x:c>
      <x:c r="G85" s="10" t="str">
        <x:v>WPForms-Formular ID 118 korrekt eingebunden; Assets nur auf benötigten Seiten geladen.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30">
      <x:c r="A86" s="4">
        <x:v>85</x:v>
      </x:c>
      <x:c r="B86" s="4" t="s">
        <x:v>72</x:v>
      </x:c>
      <x:c r="C86" s="4" t="s">
        <x:v>96</x:v>
      </x:c>
      <x:c r="D86" s="4" t="s">
        <x:v>98</x:v>
      </x:c>
      <x:c r="E86" s="4" t="s">
        <x:v>9</x:v>
      </x:c>
      <x:c r="F86" s="9" t="str">
        <x:v>Erledigt</x:v>
      </x:c>
      <x:c r="G86" s="10" t="str">
        <x:v>WPForms-Lizenztyp „pro“ und Pro-Funktionen/Entries vorhanden.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30">
      <x:c r="A87" s="4">
        <x:v>86</x:v>
      </x:c>
      <x:c r="B87" s="4" t="s">
        <x:v>72</x:v>
      </x:c>
      <x:c r="C87" s="4" t="s">
        <x:v>96</x:v>
      </x:c>
      <x:c r="D87" s="4" t="s">
        <x:v>99</x:v>
      </x:c>
      <x:c r="E87" s="4" t="s">
        <x:v>9</x:v>
      </x:c>
      <x:c r="F87" s="9" t="str">
        <x:v>Nicht erledigt</x:v>
      </x:c>
      <x:c r="G87" s="10" t="str">
        <x:v>Lizenz meldet sub_status=active, aber is_limit_reached=true; Site-Aktivierung bereinigen.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30">
      <x:c r="A88" s="4">
        <x:v>87</x:v>
      </x:c>
      <x:c r="B88" s="4" t="s">
        <x:v>72</x:v>
      </x:c>
      <x:c r="C88" s="4" t="s">
        <x:v>96</x:v>
      </x:c>
      <x:c r="D88" s="4" t="s">
        <x:v>100</x:v>
      </x:c>
      <x:c r="E88" s="4" t="s">
        <x:v>9</x:v>
      </x:c>
      <x:c r="F88" s="9" t="str">
        <x:v>Erledigt</x:v>
      </x:c>
      <x:c r="G88" s="10" t="str">
        <x:v>Eintrag wurde gespeichert und im Backend geprüft; synthetische Testeinträge danach gelöscht.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30">
      <x:c r="A89" s="4">
        <x:v>88</x:v>
      </x:c>
      <x:c r="B89" s="4" t="s">
        <x:v>72</x:v>
      </x:c>
      <x:c r="C89" s="4" t="s">
        <x:v>96</x:v>
      </x:c>
      <x:c r="D89" s="4" t="s">
        <x:v>101</x:v>
      </x:c>
      <x:c r="E89" s="4" t="s">
        <x:v>9</x:v>
      </x:c>
      <x:c r="F89" s="9" t="str">
        <x:v>Erledigt</x:v>
      </x:c>
      <x:c r="G89" s="10" t="str">
        <x:v>Eintrag wurde gespeichert und im Backend geprüft; synthetische Testeinträge danach gelöscht.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30">
      <x:c r="A90" s="4">
        <x:v>89</x:v>
      </x:c>
      <x:c r="B90" s="4" t="s">
        <x:v>72</x:v>
      </x:c>
      <x:c r="C90" s="4" t="s">
        <x:v>96</x:v>
      </x:c>
      <x:c r="D90" s="4" t="s">
        <x:v>102</x:v>
      </x:c>
      <x:c r="E90" s="4" t="s">
        <x:v>9</x:v>
      </x:c>
      <x:c r="F90" s="9" t="str">
        <x:v>Erledigt</x:v>
      </x:c>
      <x:c r="G90" s="10" t="str">
        <x:v>Eintrag wurde gespeichert und im Backend geprüft; synthetische Testeinträge danach gelöscht.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30">
      <x:c r="A91" s="4">
        <x:v>90</x:v>
      </x:c>
      <x:c r="B91" s="4" t="s">
        <x:v>72</x:v>
      </x:c>
      <x:c r="C91" s="4" t="s">
        <x:v>96</x:v>
      </x:c>
      <x:c r="D91" s="4" t="s">
        <x:v>103</x:v>
      </x:c>
      <x:c r="E91" s="4" t="s">
        <x:v>9</x:v>
      </x:c>
      <x:c r="F91" s="9" t="str">
        <x:v>Erledigt</x:v>
      </x:c>
      <x:c r="G91" s="10" t="str">
        <x:v>WPForms-AJAX-Weiterleitung auf /danke/ ist konfiguriert und getestet.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30">
      <x:c r="A92" s="4">
        <x:v>91</x:v>
      </x:c>
      <x:c r="B92" s="4" t="s">
        <x:v>72</x:v>
      </x:c>
      <x:c r="C92" s="4" t="s">
        <x:v>96</x:v>
      </x:c>
      <x:c r="D92" s="4" t="s">
        <x:v>104</x:v>
      </x:c>
      <x:c r="E92" s="4" t="s">
        <x:v>9</x:v>
      </x:c>
      <x:c r="F92" s="9" t="str">
        <x:v>Nicht erledigt</x:v>
      </x:c>
      <x:c r="G92" s="10" t="str">
        <x:v>Kein verifizierter dataLayer-/GTM-Submit-Event für WPForms vorhanden.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30">
      <x:c r="A93" s="4">
        <x:v>92</x:v>
      </x:c>
      <x:c r="B93" s="4" t="s">
        <x:v>72</x:v>
      </x:c>
      <x:c r="C93" s="4" t="s">
        <x:v>96</x:v>
      </x:c>
      <x:c r="D93" s="4" t="s">
        <x:v>105</x:v>
      </x:c>
      <x:c r="E93" s="4" t="s">
        <x:v>9</x:v>
      </x:c>
      <x:c r="F93" s="9" t="str">
        <x:v>Erledigt</x:v>
      </x:c>
      <x:c r="G93" s="10" t="str">
        <x:v>Pflichtfelder und Validierung im Kontaktformular/Wizard geprüft.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">
      <x:c r="A94" s="4">
        <x:v>93</x:v>
      </x:c>
      <x:c r="B94" s="4" t="s">
        <x:v>106</x:v>
      </x:c>
      <x:c r="C94" s="4" t="s">
        <x:v>107</x:v>
      </x:c>
      <x:c r="D94" s="4" t="s">
        <x:v>108</x:v>
      </x:c>
      <x:c r="E94" s="4" t="s">
        <x:v>9</x:v>
      </x:c>
      <x:c r="F94" s="9" t="str">
        <x:v>Offen</x:v>
      </x:c>
      <x:c r="G94" s="10" t="str">
        <x:v>GA4 kann innerhalb von GTM liegen; aktive GA4-Auslieferung ohne Containerzugriff nicht bestätigt.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">
      <x:c r="A95" s="4">
        <x:v>94</x:v>
      </x:c>
      <x:c r="B95" s="4" t="s">
        <x:v>106</x:v>
      </x:c>
      <x:c r="C95" s="4" t="s">
        <x:v>107</x:v>
      </x:c>
      <x:c r="D95" s="4" t="s">
        <x:v>109</x:v>
      </x:c>
      <x:c r="E95" s="4" t="s">
        <x:v>9</x:v>
      </x:c>
      <x:c r="F95" s="9" t="str">
        <x:v>Offen</x:v>
      </x:c>
      <x:c r="G95" s="10" t="str">
        <x:v>Bekannte ID G-NQ3XR48ZBQ muss vom Kunden gegen die produktive GA4-Property bestätigt werden.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">
      <x:c r="A96" s="4">
        <x:v>95</x:v>
      </x:c>
      <x:c r="B96" s="4" t="s">
        <x:v>106</x:v>
      </x:c>
      <x:c r="C96" s="4" t="s">
        <x:v>107</x:v>
      </x:c>
      <x:c r="D96" s="4" t="s">
        <x:v>110</x:v>
      </x:c>
      <x:c r="E96" s="4" t="s">
        <x:v>9</x:v>
      </x:c>
      <x:c r="F96" s="9" t="str">
        <x:v>Offen</x:v>
      </x:c>
      <x:c r="G96" s="10" t="str">
        <x:v>GA4-Seitenaufrufe/Events müssen nach Domainwechsel in DebugView und Realtime geprüft werden.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">
      <x:c r="A97" s="4">
        <x:v>96</x:v>
      </x:c>
      <x:c r="B97" s="4" t="s">
        <x:v>106</x:v>
      </x:c>
      <x:c r="C97" s="4" t="s">
        <x:v>107</x:v>
      </x:c>
      <x:c r="D97" s="4" t="s">
        <x:v>111</x:v>
      </x:c>
      <x:c r="E97" s="4" t="s">
        <x:v>9</x:v>
      </x:c>
      <x:c r="F97" s="9" t="str">
        <x:v>Offen</x:v>
      </x:c>
      <x:c r="G97" s="10" t="str">
        <x:v>GA4-Seitenaufrufe/Events müssen nach Domainwechsel in DebugView und Realtime geprüft werden.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">
      <x:c r="A98" s="4">
        <x:v>97</x:v>
      </x:c>
      <x:c r="B98" s="4" t="s">
        <x:v>106</x:v>
      </x:c>
      <x:c r="C98" s="4" t="s">
        <x:v>107</x:v>
      </x:c>
      <x:c r="D98" s="4" t="s">
        <x:v>112</x:v>
      </x:c>
      <x:c r="E98" s="4" t="s">
        <x:v>9</x:v>
      </x:c>
      <x:c r="F98" s="9" t="str">
        <x:v>Offen</x:v>
      </x:c>
      <x:c r="G98" s="10" t="str">
        <x:v>GA4-Seitenaufrufe/Events müssen nach Domainwechsel in DebugView und Realtime geprüft werden.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">
      <x:c r="A99" s="4">
        <x:v>98</x:v>
      </x:c>
      <x:c r="B99" s="4" t="s">
        <x:v>106</x:v>
      </x:c>
      <x:c r="C99" s="4" t="s">
        <x:v>107</x:v>
      </x:c>
      <x:c r="D99" s="4" t="s">
        <x:v>113</x:v>
      </x:c>
      <x:c r="E99" s="4" t="s">
        <x:v>9</x:v>
      </x:c>
      <x:c r="F99" s="9" t="str">
        <x:v>Offen</x:v>
      </x:c>
      <x:c r="G99" s="10" t="str">
        <x:v>GA4-Seitenaufrufe/Events müssen nach Domainwechsel in DebugView und Realtime geprüft werden.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">
      <x:c r="A100" s="4">
        <x:v>99</x:v>
      </x:c>
      <x:c r="B100" s="4" t="s">
        <x:v>106</x:v>
      </x:c>
      <x:c r="C100" s="4" t="s">
        <x:v>107</x:v>
      </x:c>
      <x:c r="D100" s="4" t="s">
        <x:v>114</x:v>
      </x:c>
      <x:c r="E100" s="4" t="s">
        <x:v>9</x:v>
      </x:c>
      <x:c r="F100" s="9" t="str">
        <x:v>Erledigt</x:v>
      </x:c>
      <x:c r="G100" s="10" t="str">
        <x:v>GTM/Google-Marketing-Pfad ist vor Zustimmung blockiert und lädt erst nach Akzeptieren.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">
      <x:c r="A101" s="4">
        <x:v>100</x:v>
      </x:c>
      <x:c r="B101" s="4" t="s">
        <x:v>106</x:v>
      </x:c>
      <x:c r="C101" s="4" t="s">
        <x:v>107</x:v>
      </x:c>
      <x:c r="D101" s="4" t="s">
        <x:v>115</x:v>
      </x:c>
      <x:c r="E101" s="4" t="s">
        <x:v>9</x:v>
      </x:c>
      <x:c r="F101" s="9" t="str">
        <x:v>Erledigt</x:v>
      </x:c>
      <x:c r="G101" s="10" t="str">
        <x:v>Direkte GA4-HFCM-Einbindung deaktiviert; keine doppelte aktive GA4-Auslieferung gefunden.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">
      <x:c r="A102" s="4">
        <x:v>101</x:v>
      </x:c>
      <x:c r="B102" s="4" t="s">
        <x:v>106</x:v>
      </x:c>
      <x:c r="C102" s="4" t="s">
        <x:v>116</x:v>
      </x:c>
      <x:c r="D102" s="4" t="s">
        <x:v>117</x:v>
      </x:c>
      <x:c r="E102" s="4" t="s">
        <x:v>9</x:v>
      </x:c>
      <x:c r="F102" s="9" t="str">
        <x:v>Erledigt</x:v>
      </x:c>
      <x:c r="G102" s="10" t="str">
        <x:v>GTM-Container GTM-TFKNMJVT lädt nach Marketing-Zustimmung.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">
      <x:c r="A103" s="4">
        <x:v>102</x:v>
      </x:c>
      <x:c r="B103" s="4" t="s">
        <x:v>106</x:v>
      </x:c>
      <x:c r="C103" s="4" t="s">
        <x:v>116</x:v>
      </x:c>
      <x:c r="D103" s="4" t="s">
        <x:v>118</x:v>
      </x:c>
      <x:c r="E103" s="4" t="s">
        <x:v>9</x:v>
      </x:c>
      <x:c r="F103" s="9" t="str">
        <x:v>Erledigt</x:v>
      </x:c>
      <x:c r="G103" s="10" t="str">
        <x:v>Consent-gesteuerter Head-Code aktiv; ungatebares noscript-Body-Snippet bewusst deaktiviert.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">
      <x:c r="A104" s="4">
        <x:v>103</x:v>
      </x:c>
      <x:c r="B104" s="4" t="s">
        <x:v>106</x:v>
      </x:c>
      <x:c r="C104" s="4" t="s">
        <x:v>116</x:v>
      </x:c>
      <x:c r="D104" s="4" t="s">
        <x:v>119</x:v>
      </x:c>
      <x:c r="E104" s="4" t="s">
        <x:v>9</x:v>
      </x:c>
      <x:c r="F104" s="9" t="str">
        <x:v>Offen</x:v>
      </x:c>
      <x:c r="G104" s="10" t="str">
        <x:v>GTM Preview/Tags/Trigger/Variablen benötigen Zugriff auf den externen GTM-Workspace.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">
      <x:c r="A105" s="4">
        <x:v>104</x:v>
      </x:c>
      <x:c r="B105" s="4" t="s">
        <x:v>106</x:v>
      </x:c>
      <x:c r="C105" s="4" t="s">
        <x:v>116</x:v>
      </x:c>
      <x:c r="D105" s="4" t="s">
        <x:v>120</x:v>
      </x:c>
      <x:c r="E105" s="4" t="s">
        <x:v>9</x:v>
      </x:c>
      <x:c r="F105" s="9" t="str">
        <x:v>Offen</x:v>
      </x:c>
      <x:c r="G105" s="10" t="str">
        <x:v>GTM Preview/Tags/Trigger/Variablen benötigen Zugriff auf den externen GTM-Workspace.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">
      <x:c r="A106" s="4">
        <x:v>105</x:v>
      </x:c>
      <x:c r="B106" s="4" t="s">
        <x:v>106</x:v>
      </x:c>
      <x:c r="C106" s="4" t="s">
        <x:v>116</x:v>
      </x:c>
      <x:c r="D106" s="4" t="s">
        <x:v>121</x:v>
      </x:c>
      <x:c r="E106" s="4" t="s">
        <x:v>9</x:v>
      </x:c>
      <x:c r="F106" s="9" t="str">
        <x:v>Offen</x:v>
      </x:c>
      <x:c r="G106" s="10" t="str">
        <x:v>GTM Preview/Tags/Trigger/Variablen benötigen Zugriff auf den externen GTM-Workspace.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">
      <x:c r="A107" s="4">
        <x:v>106</x:v>
      </x:c>
      <x:c r="B107" s="4" t="s">
        <x:v>106</x:v>
      </x:c>
      <x:c r="C107" s="4" t="s">
        <x:v>116</x:v>
      </x:c>
      <x:c r="D107" s="4" t="s">
        <x:v>122</x:v>
      </x:c>
      <x:c r="E107" s="4" t="s">
        <x:v>9</x:v>
      </x:c>
      <x:c r="F107" s="9" t="str">
        <x:v>Offen</x:v>
      </x:c>
      <x:c r="G107" s="10" t="str">
        <x:v>GTM Preview/Tags/Trigger/Variablen benötigen Zugriff auf den externen GTM-Workspace.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">
      <x:c r="A108" s="4">
        <x:v>107</x:v>
      </x:c>
      <x:c r="B108" s="4" t="s">
        <x:v>106</x:v>
      </x:c>
      <x:c r="C108" s="4" t="s">
        <x:v>116</x:v>
      </x:c>
      <x:c r="D108" s="4" t="s">
        <x:v>123</x:v>
      </x:c>
      <x:c r="E108" s="4" t="s">
        <x:v>9</x:v>
      </x:c>
      <x:c r="F108" s="9" t="str">
        <x:v>Erledigt</x:v>
      </x:c>
      <x:c r="G108" s="10" t="str">
        <x:v>Keine doppelte GTM-Laufzeiteinbindung im Browser gefunden.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">
      <x:c r="A109" s="4">
        <x:v>108</x:v>
      </x:c>
      <x:c r="B109" s="4" t="s">
        <x:v>106</x:v>
      </x:c>
      <x:c r="C109" s="4" t="s">
        <x:v>116</x:v>
      </x:c>
      <x:c r="D109" s="4" t="s">
        <x:v>124</x:v>
      </x:c>
      <x:c r="E109" s="4" t="s">
        <x:v>9</x:v>
      </x:c>
      <x:c r="F109" s="9" t="str">
        <x:v>Erledigt</x:v>
      </x:c>
      <x:c r="G109" s="10" t="str">
        <x:v>GTM-TFKNMJVT wird vom öffentlichen Google-Endpunkt ausgeliefert; Container ist veröffentlicht.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">
      <x:c r="A110" s="4">
        <x:v>109</x:v>
      </x:c>
      <x:c r="B110" s="4" t="s">
        <x:v>106</x:v>
      </x:c>
      <x:c r="C110" s="4" t="s">
        <x:v>116</x:v>
      </x:c>
      <x:c r="D110" s="4" t="s">
        <x:v>125</x:v>
      </x:c>
      <x:c r="E110" s="4" t="s">
        <x:v>9</x:v>
      </x:c>
      <x:c r="F110" s="9" t="str">
        <x:v>Offen</x:v>
      </x:c>
      <x:c r="G110" s="10" t="str">
        <x:v>Alte/ungenutzte Tags können nur im externen GTM-Workspace abschließend geprüft werden.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">
      <x:c r="A111" s="4">
        <x:v>110</x:v>
      </x:c>
      <x:c r="B111" s="4" t="s">
        <x:v>106</x:v>
      </x:c>
      <x:c r="C111" s="4" t="s">
        <x:v>126</x:v>
      </x:c>
      <x:c r="D111" s="4" t="s">
        <x:v>127</x:v>
      </x:c>
      <x:c r="E111" s="4" t="s">
        <x:v>9</x:v>
      </x:c>
      <x:c r="F111" s="9" t="str">
        <x:v>Offen</x:v>
      </x:c>
      <x:c r="G111" s="10" t="str">
        <x:v>Kein aktives Google-Ads-Tag erkannt; Einsatz, IDs, Ziele und Testconversion mit Kunde/GTM klären.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">
      <x:c r="A112" s="4">
        <x:v>111</x:v>
      </x:c>
      <x:c r="B112" s="4" t="s">
        <x:v>106</x:v>
      </x:c>
      <x:c r="C112" s="4" t="s">
        <x:v>126</x:v>
      </x:c>
      <x:c r="D112" s="4" t="s">
        <x:v>128</x:v>
      </x:c>
      <x:c r="E112" s="4" t="s">
        <x:v>9</x:v>
      </x:c>
      <x:c r="F112" s="9" t="str">
        <x:v>Offen</x:v>
      </x:c>
      <x:c r="G112" s="10" t="str">
        <x:v>Kein aktives Google-Ads-Tag erkannt; Einsatz, IDs, Ziele und Testconversion mit Kunde/GTM klären.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">
      <x:c r="A113" s="4">
        <x:v>112</x:v>
      </x:c>
      <x:c r="B113" s="4" t="s">
        <x:v>106</x:v>
      </x:c>
      <x:c r="C113" s="4" t="s">
        <x:v>126</x:v>
      </x:c>
      <x:c r="D113" s="4" t="s">
        <x:v>129</x:v>
      </x:c>
      <x:c r="E113" s="4" t="s">
        <x:v>9</x:v>
      </x:c>
      <x:c r="F113" s="9" t="str">
        <x:v>Offen</x:v>
      </x:c>
      <x:c r="G113" s="10" t="str">
        <x:v>Kein aktives Google-Ads-Tag erkannt; Einsatz, IDs, Ziele und Testconversion mit Kunde/GTM klären.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">
      <x:c r="A114" s="4">
        <x:v>113</x:v>
      </x:c>
      <x:c r="B114" s="4" t="s">
        <x:v>106</x:v>
      </x:c>
      <x:c r="C114" s="4" t="s">
        <x:v>126</x:v>
      </x:c>
      <x:c r="D114" s="4" t="s">
        <x:v>130</x:v>
      </x:c>
      <x:c r="E114" s="4" t="s">
        <x:v>9</x:v>
      </x:c>
      <x:c r="F114" s="9" t="str">
        <x:v>Offen</x:v>
      </x:c>
      <x:c r="G114" s="10" t="str">
        <x:v>Kein aktives Google-Ads-Tag erkannt; Einsatz, IDs, Ziele und Testconversion mit Kunde/GTM klären.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">
      <x:c r="A115" s="4">
        <x:v>114</x:v>
      </x:c>
      <x:c r="B115" s="4" t="s">
        <x:v>106</x:v>
      </x:c>
      <x:c r="C115" s="4" t="s">
        <x:v>126</x:v>
      </x:c>
      <x:c r="D115" s="4" t="s">
        <x:v>131</x:v>
      </x:c>
      <x:c r="E115" s="4" t="s">
        <x:v>9</x:v>
      </x:c>
      <x:c r="F115" s="9" t="str">
        <x:v>Offen</x:v>
      </x:c>
      <x:c r="G115" s="10" t="str">
        <x:v>Kein aktives Google-Ads-Tag erkannt; Einsatz, IDs, Ziele und Testconversion mit Kunde/GTM klären.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">
      <x:c r="A116" s="4">
        <x:v>115</x:v>
      </x:c>
      <x:c r="B116" s="4" t="s">
        <x:v>106</x:v>
      </x:c>
      <x:c r="C116" s="4" t="s">
        <x:v>126</x:v>
      </x:c>
      <x:c r="D116" s="4" t="s">
        <x:v>132</x:v>
      </x:c>
      <x:c r="E116" s="4" t="s">
        <x:v>9</x:v>
      </x:c>
      <x:c r="F116" s="9" t="str">
        <x:v>Offen</x:v>
      </x:c>
      <x:c r="G116" s="10" t="str">
        <x:v>Kein aktives Google-Ads-Tag erkannt; Einsatz, IDs, Ziele und Testconversion mit Kunde/GTM klären.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">
      <x:c r="A117" s="4">
        <x:v>116</x:v>
      </x:c>
      <x:c r="B117" s="4" t="s">
        <x:v>106</x:v>
      </x:c>
      <x:c r="C117" s="4" t="s">
        <x:v>126</x:v>
      </x:c>
      <x:c r="D117" s="4" t="s">
        <x:v>133</x:v>
      </x:c>
      <x:c r="E117" s="4" t="s">
        <x:v>9</x:v>
      </x:c>
      <x:c r="F117" s="9" t="str">
        <x:v>Offen</x:v>
      </x:c>
      <x:c r="G117" s="10" t="str">
        <x:v>Kein aktives Google-Ads-Tag erkannt; Einsatz, IDs, Ziele und Testconversion mit Kunde/GTM klären.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">
      <x:c r="A118" s="4">
        <x:v>117</x:v>
      </x:c>
      <x:c r="B118" s="4" t="s">
        <x:v>106</x:v>
      </x:c>
      <x:c r="C118" s="4" t="s">
        <x:v>126</x:v>
      </x:c>
      <x:c r="D118" s="4" t="s">
        <x:v>134</x:v>
      </x:c>
      <x:c r="E118" s="4" t="s">
        <x:v>9</x:v>
      </x:c>
      <x:c r="F118" s="9" t="str">
        <x:v>Offen</x:v>
      </x:c>
      <x:c r="G118" s="10" t="str">
        <x:v>Kein aktives Google-Ads-Tag erkannt; Einsatz, IDs, Ziele und Testconversion mit Kunde/GTM klären.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">
      <x:c r="A119" s="4">
        <x:v>118</x:v>
      </x:c>
      <x:c r="B119" s="4" t="s">
        <x:v>106</x:v>
      </x:c>
      <x:c r="C119" s="4" t="s">
        <x:v>126</x:v>
      </x:c>
      <x:c r="D119" s="4" t="s">
        <x:v>135</x:v>
      </x:c>
      <x:c r="E119" s="4" t="s">
        <x:v>9</x:v>
      </x:c>
      <x:c r="F119" s="9" t="str">
        <x:v>Offen</x:v>
      </x:c>
      <x:c r="G119" s="10" t="str">
        <x:v>Kein aktives Google-Ads-Tag erkannt; Einsatz, IDs, Ziele und Testconversion mit Kunde/GTM klären.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">
      <x:c r="A120" s="4">
        <x:v>119</x:v>
      </x:c>
      <x:c r="B120" s="4" t="s">
        <x:v>106</x:v>
      </x:c>
      <x:c r="C120" s="4" t="s">
        <x:v>126</x:v>
      </x:c>
      <x:c r="D120" s="4" t="s">
        <x:v>136</x:v>
      </x:c>
      <x:c r="E120" s="4" t="s">
        <x:v>9</x:v>
      </x:c>
      <x:c r="F120" s="9" t="str">
        <x:v>Offen</x:v>
      </x:c>
      <x:c r="G120" s="10" t="str">
        <x:v>Kein aktives Google-Ads-Tag erkannt; Einsatz, IDs, Ziele und Testconversion mit Kunde/GTM klären.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">
      <x:c r="A121" s="4">
        <x:v>120</x:v>
      </x:c>
      <x:c r="B121" s="4" t="s">
        <x:v>106</x:v>
      </x:c>
      <x:c r="C121" s="4" t="s">
        <x:v>126</x:v>
      </x:c>
      <x:c r="D121" s="4" t="s">
        <x:v>137</x:v>
      </x:c>
      <x:c r="E121" s="4" t="s">
        <x:v>9</x:v>
      </x:c>
      <x:c r="F121" s="9" t="str">
        <x:v>Offen</x:v>
      </x:c>
      <x:c r="G121" s="10" t="str">
        <x:v>Kein aktives Google-Ads-Tag erkannt; Einsatz, IDs, Ziele und Testconversion mit Kunde/GTM klären.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">
      <x:c r="A122" s="4">
        <x:v>121</x:v>
      </x:c>
      <x:c r="B122" s="4" t="s">
        <x:v>106</x:v>
      </x:c>
      <x:c r="C122" s="4" t="s">
        <x:v>126</x:v>
      </x:c>
      <x:c r="D122" s="4" t="s">
        <x:v>138</x:v>
      </x:c>
      <x:c r="E122" s="4" t="s">
        <x:v>9</x:v>
      </x:c>
      <x:c r="F122" s="9" t="str">
        <x:v>Offen</x:v>
      </x:c>
      <x:c r="G122" s="10" t="str">
        <x:v>Kein aktives Google-Ads-Tag erkannt; Einsatz, IDs, Ziele und Testconversion mit Kunde/GTM klären.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">
      <x:c r="A123" s="4">
        <x:v>122</x:v>
      </x:c>
      <x:c r="B123" s="4" t="s">
        <x:v>106</x:v>
      </x:c>
      <x:c r="C123" s="4" t="s">
        <x:v>126</x:v>
      </x:c>
      <x:c r="D123" s="4" t="s">
        <x:v>139</x:v>
      </x:c>
      <x:c r="E123" s="4" t="s">
        <x:v>9</x:v>
      </x:c>
      <x:c r="F123" s="9" t="str">
        <x:v>Offen</x:v>
      </x:c>
      <x:c r="G123" s="10" t="str">
        <x:v>Kein aktives Google-Ads-Tag erkannt; Einsatz, IDs, Ziele und Testconversion mit Kunde/GTM klären.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">
      <x:c r="A124" s="4">
        <x:v>123</x:v>
      </x:c>
      <x:c r="B124" s="4" t="s">
        <x:v>106</x:v>
      </x:c>
      <x:c r="C124" s="4" t="s">
        <x:v>126</x:v>
      </x:c>
      <x:c r="D124" s="4" t="s">
        <x:v>140</x:v>
      </x:c>
      <x:c r="E124" s="4" t="s">
        <x:v>9</x:v>
      </x:c>
      <x:c r="F124" s="9" t="str">
        <x:v>Offen</x:v>
      </x:c>
      <x:c r="G124" s="10" t="str">
        <x:v>Kein aktives Google-Ads-Tag erkannt; Einsatz, IDs, Ziele und Testconversion mit Kunde/GTM klären.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">
      <x:c r="A125" s="4">
        <x:v>124</x:v>
      </x:c>
      <x:c r="B125" s="4" t="s">
        <x:v>106</x:v>
      </x:c>
      <x:c r="C125" s="4" t="s">
        <x:v>141</x:v>
      </x:c>
      <x:c r="D125" s="4" t="s">
        <x:v>142</x:v>
      </x:c>
      <x:c r="E125" s="4" t="s">
        <x:v>9</x:v>
      </x:c>
      <x:c r="F125" s="9" t="str">
        <x:v>Offen</x:v>
      </x:c>
      <x:c r="G125" s="10" t="str">
        <x:v>Kein aktiver Meta-Pixel erkannt; Einsatz, Pixel-ID, Events und Consent mit Kunde klären.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">
      <x:c r="A126" s="4">
        <x:v>125</x:v>
      </x:c>
      <x:c r="B126" s="4" t="s">
        <x:v>106</x:v>
      </x:c>
      <x:c r="C126" s="4" t="s">
        <x:v>141</x:v>
      </x:c>
      <x:c r="D126" s="4" t="s">
        <x:v>143</x:v>
      </x:c>
      <x:c r="E126" s="4" t="s">
        <x:v>9</x:v>
      </x:c>
      <x:c r="F126" s="9" t="str">
        <x:v>Offen</x:v>
      </x:c>
      <x:c r="G126" s="10" t="str">
        <x:v>Kein aktiver Meta-Pixel erkannt; Einsatz, Pixel-ID, Events und Consent mit Kunde klären.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">
      <x:c r="A127" s="4">
        <x:v>126</x:v>
      </x:c>
      <x:c r="B127" s="4" t="s">
        <x:v>106</x:v>
      </x:c>
      <x:c r="C127" s="4" t="s">
        <x:v>141</x:v>
      </x:c>
      <x:c r="D127" s="4" t="s">
        <x:v>144</x:v>
      </x:c>
      <x:c r="E127" s="4" t="s">
        <x:v>9</x:v>
      </x:c>
      <x:c r="F127" s="9" t="str">
        <x:v>Offen</x:v>
      </x:c>
      <x:c r="G127" s="10" t="str">
        <x:v>Kein aktiver Meta-Pixel erkannt; Einsatz, Pixel-ID, Events und Consent mit Kunde klären.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">
      <x:c r="A128" s="4">
        <x:v>127</x:v>
      </x:c>
      <x:c r="B128" s="4" t="s">
        <x:v>106</x:v>
      </x:c>
      <x:c r="C128" s="4" t="s">
        <x:v>141</x:v>
      </x:c>
      <x:c r="D128" s="4" t="s">
        <x:v>145</x:v>
      </x:c>
      <x:c r="E128" s="4" t="s">
        <x:v>9</x:v>
      </x:c>
      <x:c r="F128" s="9" t="str">
        <x:v>Offen</x:v>
      </x:c>
      <x:c r="G128" s="10" t="str">
        <x:v>Kein aktiver Meta-Pixel erkannt; Einsatz, Pixel-ID, Events und Consent mit Kunde klären.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">
      <x:c r="A129" s="4">
        <x:v>128</x:v>
      </x:c>
      <x:c r="B129" s="4" t="s">
        <x:v>106</x:v>
      </x:c>
      <x:c r="C129" s="4" t="s">
        <x:v>141</x:v>
      </x:c>
      <x:c r="D129" s="4" t="s">
        <x:v>146</x:v>
      </x:c>
      <x:c r="E129" s="4" t="s">
        <x:v>9</x:v>
      </x:c>
      <x:c r="F129" s="9" t="str">
        <x:v>Offen</x:v>
      </x:c>
      <x:c r="G129" s="10" t="str">
        <x:v>Kein aktiver Meta-Pixel erkannt; Einsatz, Pixel-ID, Events und Consent mit Kunde klären.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">
      <x:c r="A130" s="4">
        <x:v>129</x:v>
      </x:c>
      <x:c r="B130" s="4" t="s">
        <x:v>106</x:v>
      </x:c>
      <x:c r="C130" s="4" t="s">
        <x:v>141</x:v>
      </x:c>
      <x:c r="D130" s="4" t="s">
        <x:v>147</x:v>
      </x:c>
      <x:c r="E130" s="4" t="s">
        <x:v>9</x:v>
      </x:c>
      <x:c r="F130" s="9" t="str">
        <x:v>Offen</x:v>
      </x:c>
      <x:c r="G130" s="10" t="str">
        <x:v>Kein aktiver Meta-Pixel erkannt; Einsatz, Pixel-ID, Events und Consent mit Kunde klären.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">
      <x:c r="A131" s="4">
        <x:v>130</x:v>
      </x:c>
      <x:c r="B131" s="4" t="s">
        <x:v>106</x:v>
      </x:c>
      <x:c r="C131" s="4" t="s">
        <x:v>141</x:v>
      </x:c>
      <x:c r="D131" s="4" t="s">
        <x:v>148</x:v>
      </x:c>
      <x:c r="E131" s="4" t="s">
        <x:v>9</x:v>
      </x:c>
      <x:c r="F131" s="9" t="str">
        <x:v>Offen</x:v>
      </x:c>
      <x:c r="G131" s="10" t="str">
        <x:v>Kein aktiver Meta-Pixel erkannt; Einsatz, Pixel-ID, Events und Consent mit Kunde klären.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">
      <x:c r="A132" s="4">
        <x:v>131</x:v>
      </x:c>
      <x:c r="B132" s="4" t="s">
        <x:v>106</x:v>
      </x:c>
      <x:c r="C132" s="4" t="s">
        <x:v>141</x:v>
      </x:c>
      <x:c r="D132" s="4" t="s">
        <x:v>149</x:v>
      </x:c>
      <x:c r="E132" s="4" t="s">
        <x:v>9</x:v>
      </x:c>
      <x:c r="F132" s="9" t="str">
        <x:v>Offen</x:v>
      </x:c>
      <x:c r="G132" s="10" t="str">
        <x:v>Kein aktiver Meta-Pixel erkannt; Einsatz, Pixel-ID, Events und Consent mit Kunde klären.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">
      <x:c r="A133" s="4">
        <x:v>132</x:v>
      </x:c>
      <x:c r="B133" s="4" t="s">
        <x:v>106</x:v>
      </x:c>
      <x:c r="C133" s="4" t="s">
        <x:v>141</x:v>
      </x:c>
      <x:c r="D133" s="4" t="s">
        <x:v>150</x:v>
      </x:c>
      <x:c r="E133" s="4" t="s">
        <x:v>9</x:v>
      </x:c>
      <x:c r="F133" s="9" t="str">
        <x:v>Offen</x:v>
      </x:c>
      <x:c r="G133" s="10" t="str">
        <x:v>Kein aktiver Meta-Pixel erkannt; Einsatz, Pixel-ID, Events und Consent mit Kunde klären.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">
      <x:c r="A134" s="4">
        <x:v>133</x:v>
      </x:c>
      <x:c r="B134" s="4" t="s">
        <x:v>106</x:v>
      </x:c>
      <x:c r="C134" s="4" t="s">
        <x:v>141</x:v>
      </x:c>
      <x:c r="D134" s="4" t="s">
        <x:v>151</x:v>
      </x:c>
      <x:c r="E134" s="4" t="s">
        <x:v>9</x:v>
      </x:c>
      <x:c r="F134" s="9" t="str">
        <x:v>Offen</x:v>
      </x:c>
      <x:c r="G134" s="10" t="str">
        <x:v>Kein aktiver Meta-Pixel erkannt; Einsatz, Pixel-ID, Events und Consent mit Kunde klären.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">
      <x:c r="A135" s="4">
        <x:v>134</x:v>
      </x:c>
      <x:c r="B135" s="4" t="s">
        <x:v>106</x:v>
      </x:c>
      <x:c r="C135" s="4" t="s">
        <x:v>152</x:v>
      </x:c>
      <x:c r="D135" s="4" t="s">
        <x:v>153</x:v>
      </x:c>
      <x:c r="E135" s="4" t="s">
        <x:v>9</x:v>
      </x:c>
      <x:c r="F135" s="9" t="str">
        <x:v>Erledigt</x:v>
      </x:c>
      <x:c r="G135" s="10" t="str">
        <x:v>Aktive Architektur ist WPCode+Complianz; doppelte direkte HCFM-GA-Einbindung deaktiviert.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30">
      <x:c r="A136" s="4">
        <x:v>135</x:v>
      </x:c>
      <x:c r="B136" s="4" t="s">
        <x:v>106</x:v>
      </x:c>
      <x:c r="C136" s="4" t="s">
        <x:v>152</x:v>
      </x:c>
      <x:c r="D136" s="4" t="s">
        <x:v>154</x:v>
      </x:c>
      <x:c r="E136" s="4" t="s">
        <x:v>9</x:v>
      </x:c>
      <x:c r="F136" s="9" t="str">
        <x:v>Erledigt</x:v>
      </x:c>
      <x:c r="G136" s="10" t="str">
        <x:v>Nicht über HCFM aktiv eingebunden; daher bedingte HCFM-Prüfung nicht anwendbar.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30">
      <x:c r="A137" s="4">
        <x:v>136</x:v>
      </x:c>
      <x:c r="B137" s="4" t="s">
        <x:v>106</x:v>
      </x:c>
      <x:c r="C137" s="4" t="s">
        <x:v>152</x:v>
      </x:c>
      <x:c r="D137" s="4" t="s">
        <x:v>155</x:v>
      </x:c>
      <x:c r="E137" s="4" t="s">
        <x:v>9</x:v>
      </x:c>
      <x:c r="F137" s="9" t="str">
        <x:v>Erledigt</x:v>
      </x:c>
      <x:c r="G137" s="10" t="str">
        <x:v>Nicht über HCFM aktiv eingebunden; daher bedingte HCFM-Prüfung nicht anwendbar.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">
      <x:c r="A138" s="4">
        <x:v>137</x:v>
      </x:c>
      <x:c r="B138" s="4" t="s">
        <x:v>106</x:v>
      </x:c>
      <x:c r="C138" s="4" t="s">
        <x:v>152</x:v>
      </x:c>
      <x:c r="D138" s="4" t="s">
        <x:v>156</x:v>
      </x:c>
      <x:c r="E138" s="4" t="s">
        <x:v>9</x:v>
      </x:c>
      <x:c r="F138" s="9" t="str">
        <x:v>Erledigt</x:v>
      </x:c>
      <x:c r="G138" s="10" t="str">
        <x:v>Nicht über HCFM aktiv eingebunden; daher bedingte HCFM-Prüfung nicht anwendbar.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">
      <x:c r="A139" s="4">
        <x:v>138</x:v>
      </x:c>
      <x:c r="B139" s="4" t="s">
        <x:v>106</x:v>
      </x:c>
      <x:c r="C139" s="4" t="s">
        <x:v>152</x:v>
      </x:c>
      <x:c r="D139" s="4" t="s">
        <x:v>157</x:v>
      </x:c>
      <x:c r="E139" s="4" t="s">
        <x:v>9</x:v>
      </x:c>
      <x:c r="F139" s="9" t="str">
        <x:v>Erledigt</x:v>
      </x:c>
      <x:c r="G139" s="10" t="str">
        <x:v>Header/Body/Footer-Codebestand geprüft; nur consent-sichere aktive Einbindungen belassen.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">
      <x:c r="A140" s="4">
        <x:v>139</x:v>
      </x:c>
      <x:c r="B140" s="4" t="s">
        <x:v>106</x:v>
      </x:c>
      <x:c r="C140" s="4" t="s">
        <x:v>152</x:v>
      </x:c>
      <x:c r="D140" s="4" t="s">
        <x:v>158</x:v>
      </x:c>
      <x:c r="E140" s="4" t="s">
        <x:v>9</x:v>
      </x:c>
      <x:c r="F140" s="9" t="str">
        <x:v>Erledigt</x:v>
      </x:c>
      <x:c r="G140" s="10" t="str">
        <x:v>Header/Body/Footer-Codebestand geprüft; nur consent-sichere aktive Einbindungen belassen.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">
      <x:c r="A141" s="4">
        <x:v>140</x:v>
      </x:c>
      <x:c r="B141" s="4" t="s">
        <x:v>106</x:v>
      </x:c>
      <x:c r="C141" s="4" t="s">
        <x:v>152</x:v>
      </x:c>
      <x:c r="D141" s="4" t="s">
        <x:v>159</x:v>
      </x:c>
      <x:c r="E141" s="4" t="s">
        <x:v>9</x:v>
      </x:c>
      <x:c r="F141" s="9" t="str">
        <x:v>Erledigt</x:v>
      </x:c>
      <x:c r="G141" s="10" t="str">
        <x:v>Header/Body/Footer-Codebestand geprüft; nur consent-sichere aktive Einbindungen belassen.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30">
      <x:c r="A142" s="4">
        <x:v>141</x:v>
      </x:c>
      <x:c r="B142" s="4" t="s">
        <x:v>106</x:v>
      </x:c>
      <x:c r="C142" s="4" t="s">
        <x:v>152</x:v>
      </x:c>
      <x:c r="D142" s="4" t="s">
        <x:v>160</x:v>
      </x:c>
      <x:c r="E142" s="4" t="s">
        <x:v>9</x:v>
      </x:c>
      <x:c r="F142" s="9" t="str">
        <x:v>Erledigt</x:v>
      </x:c>
      <x:c r="G142" s="10" t="str">
        <x:v>Keine doppelten aktiven Tracking-Codes über Theme, HCFM, WPCode oder GTM gefunden.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30">
      <x:c r="A143" s="4">
        <x:v>142</x:v>
      </x:c>
      <x:c r="B143" s="4" t="s">
        <x:v>161</x:v>
      </x:c>
      <x:c r="C143" s="4"/>
      <x:c r="D143" s="4" t="s">
        <x:v>162</x:v>
      </x:c>
      <x:c r="E143" s="4" t="s">
        <x:v>9</x:v>
      </x:c>
      <x:c r="F143" s="9" t="str">
        <x:v>Erledigt</x:v>
      </x:c>
      <x:c r="G143" s="10" t="str">
        <x:v>Complianz-Banner in frischem Zustand geprüft; Ablehnen, Akzeptieren und Verwalten funktionieren.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">
      <x:c r="A144" s="4">
        <x:v>143</x:v>
      </x:c>
      <x:c r="B144" s="1" t="s">
        <x:v>161</x:v>
      </x:c>
      <x:c r="C144" s="4"/>
      <x:c r="D144" s="4" t="s">
        <x:v>163</x:v>
      </x:c>
      <x:c r="E144" s="4" t="s">
        <x:v>9</x:v>
      </x:c>
      <x:c r="F144" s="9" t="str">
        <x:v>Erledigt</x:v>
      </x:c>
      <x:c r="G144" s="10" t="str">
        <x:v>Complianz-Banner in frischem Zustand geprüft; Ablehnen, Akzeptieren und Verwalten funktionieren.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">
      <x:c r="A145" s="4">
        <x:v>144</x:v>
      </x:c>
      <x:c r="B145" s="1" t="s">
        <x:v>161</x:v>
      </x:c>
      <x:c r="C145" s="4"/>
      <x:c r="D145" s="4" t="s">
        <x:v>164</x:v>
      </x:c>
      <x:c r="E145" s="4" t="s">
        <x:v>9</x:v>
      </x:c>
      <x:c r="F145" s="9" t="str">
        <x:v>Erledigt</x:v>
      </x:c>
      <x:c r="G145" s="10" t="str">
        <x:v>Complianz-Banner in frischem Zustand geprüft; Ablehnen, Akzeptieren und Verwalten funktionieren.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30">
      <x:c r="A146" s="4">
        <x:v>145</x:v>
      </x:c>
      <x:c r="B146" s="1" t="s">
        <x:v>161</x:v>
      </x:c>
      <x:c r="C146" s="4"/>
      <x:c r="D146" s="4" t="s">
        <x:v>165</x:v>
      </x:c>
      <x:c r="E146" s="4" t="s">
        <x:v>9</x:v>
      </x:c>
      <x:c r="F146" s="9" t="str">
        <x:v>Erledigt</x:v>
      </x:c>
      <x:c r="G146" s="10" t="str">
        <x:v>Complianz-Banner in frischem Zustand geprüft; Ablehnen, Akzeptieren und Verwalten funktionieren.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30">
      <x:c r="A147" s="4">
        <x:v>146</x:v>
      </x:c>
      <x:c r="B147" s="1" t="s">
        <x:v>161</x:v>
      </x:c>
      <x:c r="C147" s="4"/>
      <x:c r="D147" s="4" t="s">
        <x:v>166</x:v>
      </x:c>
      <x:c r="E147" s="4" t="s">
        <x:v>9</x:v>
      </x:c>
      <x:c r="F147" s="9" t="str">
        <x:v>Erledigt</x:v>
      </x:c>
      <x:c r="G147" s="10" t="str">
        <x:v>Google-Marketing/GTM-Pfad lädt vor Zustimmung nicht.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30">
      <x:c r="A148" s="4">
        <x:v>147</x:v>
      </x:c>
      <x:c r="B148" s="1" t="s">
        <x:v>161</x:v>
      </x:c>
      <x:c r="C148" s="4"/>
      <x:c r="D148" s="4" t="s">
        <x:v>167</x:v>
      </x:c>
      <x:c r="E148" s="4" t="s">
        <x:v>9</x:v>
      </x:c>
      <x:c r="F148" s="9" t="str">
        <x:v>Erledigt</x:v>
      </x:c>
      <x:c r="G148" s="10" t="str">
        <x:v>Keine Google-Ads-/Meta-Tags aktiv; falls später ergänzt, Consent erneut prüfen.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">
      <x:c r="A149" s="4">
        <x:v>148</x:v>
      </x:c>
      <x:c r="B149" s="1" t="s">
        <x:v>161</x:v>
      </x:c>
      <x:c r="C149" s="4"/>
      <x:c r="D149" s="4" t="s">
        <x:v>168</x:v>
      </x:c>
      <x:c r="E149" s="4" t="s">
        <x:v>9</x:v>
      </x:c>
      <x:c r="F149" s="9" t="str">
        <x:v>Erledigt</x:v>
      </x:c>
      <x:c r="G149" s="10" t="str">
        <x:v>Keine Google-Ads-/Meta-Tags aktiv; falls später ergänzt, Consent erneut prüfen.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30">
      <x:c r="A150" s="4">
        <x:v>149</x:v>
      </x:c>
      <x:c r="B150" s="1" t="s">
        <x:v>161</x:v>
      </x:c>
      <x:c r="C150" s="4"/>
      <x:c r="D150" s="4" t="s">
        <x:v>169</x:v>
      </x:c>
      <x:c r="E150" s="4" t="s">
        <x:v>9</x:v>
      </x:c>
      <x:c r="F150" s="9" t="str">
        <x:v>Erledigt</x:v>
      </x:c>
      <x:c r="G150" s="10" t="str">
        <x:v>reCAPTCHA/Google-Inhalte sind vor Zustimmung inert und laden erst nach Akzeptieren.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">
      <x:c r="A151" s="4">
        <x:v>150</x:v>
      </x:c>
      <x:c r="B151" s="1" t="s">
        <x:v>161</x:v>
      </x:c>
      <x:c r="C151" s="4"/>
      <x:c r="D151" s="4" t="s">
        <x:v>170</x:v>
      </x:c>
      <x:c r="E151" s="4" t="s">
        <x:v>9</x:v>
      </x:c>
      <x:c r="F151" s="9" t="str">
        <x:v>Erledigt</x:v>
      </x:c>
      <x:c r="G151" s="10" t="str">
        <x:v>Impressum, Datenschutz und Cookie-Richtlinie im Footer verlinkt.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">
      <x:c r="A152" s="4">
        <x:v>151</x:v>
      </x:c>
      <x:c r="B152" s="1" t="s">
        <x:v>161</x:v>
      </x:c>
      <x:c r="C152" s="4"/>
      <x:c r="D152" s="4" t="s">
        <x:v>171</x:v>
      </x:c>
      <x:c r="E152" s="4" t="s">
        <x:v>9</x:v>
      </x:c>
      <x:c r="F152" s="9" t="str">
        <x:v>Erledigt</x:v>
      </x:c>
      <x:c r="G152" s="10" t="str">
        <x:v>Consent-Banner mobil bedienbar; keine verursachten Layout-Probleme gefunden.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">
      <x:c r="A153" s="4">
        <x:v>152</x:v>
      </x:c>
      <x:c r="B153" s="1" t="s">
        <x:v>161</x:v>
      </x:c>
      <x:c r="C153" s="4"/>
      <x:c r="D153" s="4" t="s">
        <x:v>172</x:v>
      </x:c>
      <x:c r="E153" s="4" t="s">
        <x:v>9</x:v>
      </x:c>
      <x:c r="F153" s="9" t="str">
        <x:v>Erledigt</x:v>
      </x:c>
      <x:c r="G153" s="10" t="str">
        <x:v>Consent-Banner mobil bedienbar; keine verursachten Layout-Probleme gefunden.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">
      <x:c r="A154" s="4">
        <x:v>153</x:v>
      </x:c>
      <x:c r="B154" s="4" t="s">
        <x:v>173</x:v>
      </x:c>
      <x:c r="C154" s="4" t="s">
        <x:v>174</x:v>
      </x:c>
      <x:c r="D154" s="4" t="s">
        <x:v>175</x:v>
      </x:c>
      <x:c r="E154" s="4" t="s">
        <x:v>9</x:v>
      </x:c>
      <x:c r="F154" s="9" t="str">
        <x:v>Erledigt</x:v>
      </x:c>
      <x:c r="G154" s="10" t="str">
        <x:v>Yoast SEO 28.0 aktiv und aktuell.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30">
      <x:c r="A155" s="4">
        <x:v>154</x:v>
      </x:c>
      <x:c r="B155" s="4" t="s">
        <x:v>173</x:v>
      </x:c>
      <x:c r="C155" s="4" t="s">
        <x:v>174</x:v>
      </x:c>
      <x:c r="D155" s="4" t="s">
        <x:v>176</x:v>
      </x:c>
      <x:c r="E155" s="4" t="s">
        <x:v>9</x:v>
      </x:c>
      <x:c r="F155" s="9" t="str">
        <x:v>Offen</x:v>
      </x:c>
      <x:c r="G155" s="10" t="str">
        <x:v>Lokale Umgebung absichtlich global noindex; erst direkt vor Livegang auf indexierbar stellen.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">
      <x:c r="A156" s="4">
        <x:v>155</x:v>
      </x:c>
      <x:c r="B156" s="4" t="s">
        <x:v>173</x:v>
      </x:c>
      <x:c r="C156" s="4" t="s">
        <x:v>174</x:v>
      </x:c>
      <x:c r="D156" s="4" t="s">
        <x:v>177</x:v>
      </x:c>
      <x:c r="E156" s="4" t="s">
        <x:v>9</x:v>
      </x:c>
      <x:c r="F156" s="9" t="str">
        <x:v>Offen</x:v>
      </x:c>
      <x:c r="G156" s="10" t="str">
        <x:v>Lokale Umgebung absichtlich global noindex; erst direkt vor Livegang auf indexierbar stellen.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">
      <x:c r="A157" s="4">
        <x:v>156</x:v>
      </x:c>
      <x:c r="B157" s="4" t="s">
        <x:v>173</x:v>
      </x:c>
      <x:c r="C157" s="4" t="s">
        <x:v>174</x:v>
      </x:c>
      <x:c r="D157" s="4" t="s">
        <x:v>178</x:v>
      </x:c>
      <x:c r="E157" s="4" t="s">
        <x:v>9</x:v>
      </x:c>
      <x:c r="F157" s="9" t="str">
        <x:v>Offen</x:v>
      </x:c>
      <x:c r="G157" s="10" t="str">
        <x:v>Lokale Umgebung absichtlich global noindex; erst direkt vor Livegang auf indexierbar stellen.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">
      <x:c r="A158" s="4">
        <x:v>157</x:v>
      </x:c>
      <x:c r="B158" s="4" t="s">
        <x:v>173</x:v>
      </x:c>
      <x:c r="C158" s="4" t="s">
        <x:v>174</x:v>
      </x:c>
      <x:c r="D158" s="4" t="s">
        <x:v>179</x:v>
      </x:c>
      <x:c r="E158" s="4" t="s">
        <x:v>9</x:v>
      </x:c>
      <x:c r="F158" s="9" t="str">
        <x:v>Offen</x:v>
      </x:c>
      <x:c r="G158" s="10" t="str">
        <x:v>Lokale robots.txt ist korrekt blockierend; Produktiv-robots nach Indexfreigabe erneut prüfen.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">
      <x:c r="A159" s="4">
        <x:v>158</x:v>
      </x:c>
      <x:c r="B159" s="4" t="s">
        <x:v>173</x:v>
      </x:c>
      <x:c r="C159" s="4" t="s">
        <x:v>174</x:v>
      </x:c>
      <x:c r="D159" s="4" t="s">
        <x:v>180</x:v>
      </x:c>
      <x:c r="E159" s="4" t="s">
        <x:v>9</x:v>
      </x:c>
      <x:c r="F159" s="9" t="str">
        <x:v>Erledigt</x:v>
      </x:c>
      <x:c r="G159" s="10" t="str">
        <x:v>Yoast XML-Sitemap unter /sitemap_index.xml erreichbar.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">
      <x:c r="A160" s="4">
        <x:v>159</x:v>
      </x:c>
      <x:c r="B160" s="4" t="s">
        <x:v>173</x:v>
      </x:c>
      <x:c r="C160" s="4" t="s">
        <x:v>174</x:v>
      </x:c>
      <x:c r="D160" s="4" t="s">
        <x:v>181</x:v>
      </x:c>
      <x:c r="E160" s="4" t="s">
        <x:v>9</x:v>
      </x:c>
      <x:c r="F160" s="9" t="str">
        <x:v>Offen</x:v>
      </x:c>
      <x:c r="G160" s="10" t="str">
        <x:v>Google Search Console und Sitemap-Einreichung erst mit bestätigter Produktivdomain möglich.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">
      <x:c r="A161" s="4">
        <x:v>160</x:v>
      </x:c>
      <x:c r="B161" s="4" t="s">
        <x:v>173</x:v>
      </x:c>
      <x:c r="C161" s="4" t="s">
        <x:v>174</x:v>
      </x:c>
      <x:c r="D161" s="4" t="s">
        <x:v>182</x:v>
      </x:c>
      <x:c r="E161" s="4" t="s">
        <x:v>9</x:v>
      </x:c>
      <x:c r="F161" s="9" t="str">
        <x:v>Offen</x:v>
      </x:c>
      <x:c r="G161" s="10" t="str">
        <x:v>Google Search Console und Sitemap-Einreichung erst mit bestätigter Produktivdomain möglich.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">
      <x:c r="A162" s="4">
        <x:v>161</x:v>
      </x:c>
      <x:c r="B162" s="4" t="s">
        <x:v>173</x:v>
      </x:c>
      <x:c r="C162" s="4" t="s">
        <x:v>174</x:v>
      </x:c>
      <x:c r="D162" s="4" t="s">
        <x:v>183</x:v>
      </x:c>
      <x:c r="E162" s="4" t="s">
        <x:v>9</x:v>
      </x:c>
      <x:c r="F162" s="9" t="str">
        <x:v>Erledigt</x:v>
      </x:c>
      <x:c r="G162" s="10" t="str">
        <x:v>Sitemap-Bestand geprüft; relevante indexierbare Hauptseiten enthalten.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">
      <x:c r="A163" s="4">
        <x:v>162</x:v>
      </x:c>
      <x:c r="B163" s="4" t="s">
        <x:v>173</x:v>
      </x:c>
      <x:c r="C163" s="4" t="s">
        <x:v>174</x:v>
      </x:c>
      <x:c r="D163" s="4" t="s">
        <x:v>184</x:v>
      </x:c>
      <x:c r="E163" s="4" t="s">
        <x:v>9</x:v>
      </x:c>
      <x:c r="F163" s="9" t="str">
        <x:v>Erledigt</x:v>
      </x:c>
      <x:c r="G163" s="10" t="str">
        <x:v>Interne Ziele auf saubere Permalinks umgestellt; Rewrite-Regeln funktionieren.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">
      <x:c r="A164" s="4">
        <x:v>163</x:v>
      </x:c>
      <x:c r="B164" s="4" t="s">
        <x:v>173</x:v>
      </x:c>
      <x:c r="C164" s="4" t="s">
        <x:v>174</x:v>
      </x:c>
      <x:c r="D164" s="4" t="s">
        <x:v>185</x:v>
      </x:c>
      <x:c r="E164" s="4" t="s">
        <x:v>9</x:v>
      </x:c>
      <x:c r="F164" s="9" t="str">
        <x:v>Erledigt</x:v>
      </x:c>
      <x:c r="G164" s="10" t="str">
        <x:v>Keine unnötigen Redirect-Ketten im lokalen Crawl; 404-Fluss ist beabsichtigt.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">
      <x:c r="A165" s="4">
        <x:v>164</x:v>
      </x:c>
      <x:c r="B165" s="4" t="s">
        <x:v>173</x:v>
      </x:c>
      <x:c r="C165" s="4" t="s">
        <x:v>174</x:v>
      </x:c>
      <x:c r="D165" s="4" t="s">
        <x:v>186</x:v>
      </x:c>
      <x:c r="E165" s="4" t="s">
        <x:v>9</x:v>
      </x:c>
      <x:c r="F165" s="9" t="str">
        <x:v>Erledigt</x:v>
      </x:c>
      <x:c r="G165" s="10" t="str">
        <x:v>Unbekannte URL und gestaltete Fehlerseite mit endgültigem HTTP 404 geprüft.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">
      <x:c r="A166" s="4">
        <x:v>165</x:v>
      </x:c>
      <x:c r="B166" s="4" t="s">
        <x:v>173</x:v>
      </x:c>
      <x:c r="C166" s="4" t="s">
        <x:v>174</x:v>
      </x:c>
      <x:c r="D166" s="4" t="s">
        <x:v>187</x:v>
      </x:c>
      <x:c r="E166" s="4" t="s">
        <x:v>9</x:v>
      </x:c>
      <x:c r="F166" s="9" t="str">
        <x:v>Erledigt</x:v>
      </x:c>
      <x:c r="G166" s="10" t="str">
        <x:v>Website ist einsprachig Deutsch; hreflang daher derzeit nicht erforderlich.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">
      <x:c r="A167" s="4">
        <x:v>166</x:v>
      </x:c>
      <x:c r="B167" s="4" t="s">
        <x:v>173</x:v>
      </x:c>
      <x:c r="C167" s="4" t="s">
        <x:v>174</x:v>
      </x:c>
      <x:c r="D167" s="4" t="s">
        <x:v>188</x:v>
      </x:c>
      <x:c r="E167" s="4" t="s">
        <x:v>9</x:v>
      </x:c>
      <x:c r="F167" s="9" t="str">
        <x:v>Erledigt</x:v>
      </x:c>
      <x:c r="G167" s="10" t="str">
        <x:v>Sprechende, kurze URLs und /%postname%/-Permalinks aktiv.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">
      <x:c r="A168" s="4">
        <x:v>167</x:v>
      </x:c>
      <x:c r="B168" s="4" t="s">
        <x:v>173</x:v>
      </x:c>
      <x:c r="C168" s="4" t="s">
        <x:v>174</x:v>
      </x:c>
      <x:c r="D168" s="4" t="s">
        <x:v>189</x:v>
      </x:c>
      <x:c r="E168" s="4" t="s">
        <x:v>9</x:v>
      </x:c>
      <x:c r="F168" s="9" t="str">
        <x:v>Erledigt</x:v>
      </x:c>
      <x:c r="G168" s="10" t="str">
        <x:v>Sprechende, kurze URLs und /%postname%/-Permalinks aktiv.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">
      <x:c r="A169" s="4">
        <x:v>168</x:v>
      </x:c>
      <x:c r="B169" s="4" t="s">
        <x:v>173</x:v>
      </x:c>
      <x:c r="C169" s="4" t="s">
        <x:v>174</x:v>
      </x:c>
      <x:c r="D169" s="4" t="s">
        <x:v>190</x:v>
      </x:c>
      <x:c r="E169" s="4" t="s">
        <x:v>9</x:v>
      </x:c>
      <x:c r="F169" s="9" t="str">
        <x:v>Erledigt</x:v>
      </x:c>
      <x:c r="G169" s="10" t="str">
        <x:v>Breadcrumb-Navigation ist nicht überall nötig; BreadcrumbList-Schema auf Unterseiten geprüft.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">
      <x:c r="A170" s="4">
        <x:v>169</x:v>
      </x:c>
      <x:c r="B170" s="4" t="s">
        <x:v>173</x:v>
      </x:c>
      <x:c r="C170" s="4" t="s">
        <x:v>174</x:v>
      </x:c>
      <x:c r="D170" s="4" t="s">
        <x:v>191</x:v>
      </x:c>
      <x:c r="E170" s="4" t="s">
        <x:v>9</x:v>
      </x:c>
      <x:c r="F170" s="9" t="str">
        <x:v>Erledigt</x:v>
      </x:c>
      <x:c r="G170" s="10" t="str">
        <x:v>Breadcrumb-Navigation ist nicht überall nötig; BreadcrumbList-Schema auf Unterseiten geprüft.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">
      <x:c r="A171" s="4">
        <x:v>170</x:v>
      </x:c>
      <x:c r="B171" s="4" t="s">
        <x:v>173</x:v>
      </x:c>
      <x:c r="C171" s="4" t="s">
        <x:v>192</x:v>
      </x:c>
      <x:c r="D171" s="4" t="s">
        <x:v>193</x:v>
      </x:c>
      <x:c r="E171" s="4" t="s">
        <x:v>9</x:v>
      </x:c>
      <x:c r="F171" s="9" t="str">
        <x:v>Erledigt</x:v>
      </x:c>
      <x:c r="G171" s="10" t="str">
        <x:v>Eindeutige Meta-Titel und Descriptions auf allen wichtigen Seiten gesetzt.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">
      <x:c r="A172" s="4">
        <x:v>171</x:v>
      </x:c>
      <x:c r="B172" s="4" t="s">
        <x:v>173</x:v>
      </x:c>
      <x:c r="C172" s="4" t="s">
        <x:v>192</x:v>
      </x:c>
      <x:c r="D172" s="4" t="s">
        <x:v>194</x:v>
      </x:c>
      <x:c r="E172" s="4" t="s">
        <x:v>9</x:v>
      </x:c>
      <x:c r="F172" s="9" t="str">
        <x:v>Erledigt</x:v>
      </x:c>
      <x:c r="G172" s="10" t="str">
        <x:v>Eindeutige Meta-Titel und Descriptions auf allen wichtigen Seiten gesetzt.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">
      <x:c r="A173" s="4">
        <x:v>172</x:v>
      </x:c>
      <x:c r="B173" s="4" t="s">
        <x:v>173</x:v>
      </x:c>
      <x:c r="C173" s="4" t="s">
        <x:v>192</x:v>
      </x:c>
      <x:c r="D173" s="4" t="s">
        <x:v>195</x:v>
      </x:c>
      <x:c r="E173" s="4" t="s">
        <x:v>9</x:v>
      </x:c>
      <x:c r="F173" s="9" t="str">
        <x:v>Erledigt</x:v>
      </x:c>
      <x:c r="G173" s="10" t="str">
        <x:v>Meta-Titellängen der Hauptseiten geprüft und im sinnvollen Bereich.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">
      <x:c r="A174" s="4">
        <x:v>173</x:v>
      </x:c>
      <x:c r="B174" s="4" t="s">
        <x:v>173</x:v>
      </x:c>
      <x:c r="C174" s="4" t="s">
        <x:v>192</x:v>
      </x:c>
      <x:c r="D174" s="4" t="s">
        <x:v>196</x:v>
      </x:c>
      <x:c r="E174" s="4" t="s">
        <x:v>9</x:v>
      </x:c>
      <x:c r="F174" s="9" t="str">
        <x:v>Erledigt</x:v>
      </x:c>
      <x:c r="G174" s="10" t="str">
        <x:v>Zu lange Descriptions gekürzt; Hauptseiten jetzt 137–151 Zeichen.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">
      <x:c r="A175" s="4">
        <x:v>174</x:v>
      </x:c>
      <x:c r="B175" s="4" t="s">
        <x:v>173</x:v>
      </x:c>
      <x:c r="C175" s="4" t="s">
        <x:v>192</x:v>
      </x:c>
      <x:c r="D175" s="4" t="s">
        <x:v>197</x:v>
      </x:c>
      <x:c r="E175" s="4" t="s">
        <x:v>9</x:v>
      </x:c>
      <x:c r="F175" s="9" t="str">
        <x:v>Erledigt</x:v>
      </x:c>
      <x:c r="G175" s="10" t="str">
        <x:v>Titel und Descriptions pro Hauptseite eindeutig.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">
      <x:c r="A176" s="4">
        <x:v>175</x:v>
      </x:c>
      <x:c r="B176" s="4" t="s">
        <x:v>173</x:v>
      </x:c>
      <x:c r="C176" s="4" t="s">
        <x:v>192</x:v>
      </x:c>
      <x:c r="D176" s="4" t="s">
        <x:v>198</x:v>
      </x:c>
      <x:c r="E176" s="4" t="s">
        <x:v>9</x:v>
      </x:c>
      <x:c r="F176" s="9" t="str">
        <x:v>Offen</x:v>
      </x:c>
      <x:c r="G176" s="10" t="str">
        <x:v>Finale Fokus-Keyword-Strategie und Prioritäten benötigen SEO-/Kundenfreigabe.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">
      <x:c r="A177" s="4">
        <x:v>176</x:v>
      </x:c>
      <x:c r="B177" s="4" t="s">
        <x:v>173</x:v>
      </x:c>
      <x:c r="C177" s="4" t="s">
        <x:v>192</x:v>
      </x:c>
      <x:c r="D177" s="4" t="s">
        <x:v>199</x:v>
      </x:c>
      <x:c r="E177" s="4" t="s">
        <x:v>9</x:v>
      </x:c>
      <x:c r="F177" s="9" t="str">
        <x:v>Erledigt</x:v>
      </x:c>
      <x:c r="G177" s="10" t="str">
        <x:v>Open-Graph-/Twitter-Daten und Social-Sharing-Bilder vorhanden.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">
      <x:c r="A178" s="4">
        <x:v>177</x:v>
      </x:c>
      <x:c r="B178" s="4" t="s">
        <x:v>173</x:v>
      </x:c>
      <x:c r="C178" s="4" t="s">
        <x:v>192</x:v>
      </x:c>
      <x:c r="D178" s="4" t="s">
        <x:v>200</x:v>
      </x:c>
      <x:c r="E178" s="4" t="s">
        <x:v>9</x:v>
      </x:c>
      <x:c r="F178" s="9" t="str">
        <x:v>Erledigt</x:v>
      </x:c>
      <x:c r="G178" s="10" t="str">
        <x:v>Open-Graph-/Twitter-Daten und Social-Sharing-Bilder vorhanden.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">
      <x:c r="A179" s="4">
        <x:v>178</x:v>
      </x:c>
      <x:c r="B179" s="4" t="s">
        <x:v>173</x:v>
      </x:c>
      <x:c r="C179" s="4" t="s">
        <x:v>201</x:v>
      </x:c>
      <x:c r="D179" s="4" t="s">
        <x:v>202</x:v>
      </x:c>
      <x:c r="E179" s="4" t="s">
        <x:v>9</x:v>
      </x:c>
      <x:c r="F179" s="9" t="str">
        <x:v>Erledigt</x:v>
      </x:c>
      <x:c r="G179" s="10" t="str">
        <x:v>Pro geprüfter Hauptseite genau eine sinnvolle H1.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">
      <x:c r="A180" s="4">
        <x:v>179</x:v>
      </x:c>
      <x:c r="B180" s="4" t="s">
        <x:v>173</x:v>
      </x:c>
      <x:c r="C180" s="4" t="s">
        <x:v>201</x:v>
      </x:c>
      <x:c r="D180" s="4" t="s">
        <x:v>203</x:v>
      </x:c>
      <x:c r="E180" s="4" t="s">
        <x:v>9</x:v>
      </x:c>
      <x:c r="F180" s="9" t="str">
        <x:v>Erledigt</x:v>
      </x:c>
      <x:c r="G180" s="10" t="str">
        <x:v>H2/H3-Struktur der öffentlichen Seiten logisch und ohne Sprünge geprüft.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">
      <x:c r="A181" s="4">
        <x:v>180</x:v>
      </x:c>
      <x:c r="B181" s="4" t="s">
        <x:v>173</x:v>
      </x:c>
      <x:c r="C181" s="4" t="s">
        <x:v>201</x:v>
      </x:c>
      <x:c r="D181" s="4" t="s">
        <x:v>204</x:v>
      </x:c>
      <x:c r="E181" s="4" t="s">
        <x:v>9</x:v>
      </x:c>
      <x:c r="F181" s="9" t="str">
        <x:v>Erledigt</x:v>
      </x:c>
      <x:c r="G181" s="10" t="str">
        <x:v>Regionale und leistungsbezogene Begriffe natürlich in den Seiteninhalten verwendet.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">
      <x:c r="A182" s="4">
        <x:v>181</x:v>
      </x:c>
      <x:c r="B182" s="4" t="s">
        <x:v>173</x:v>
      </x:c>
      <x:c r="C182" s="4" t="s">
        <x:v>201</x:v>
      </x:c>
      <x:c r="D182" s="4" t="s">
        <x:v>205</x:v>
      </x:c>
      <x:c r="E182" s="4" t="s">
        <x:v>9</x:v>
      </x:c>
      <x:c r="F182" s="9" t="str">
        <x:v>Erledigt</x:v>
      </x:c>
      <x:c r="G182" s="10" t="str">
        <x:v>Interne Links und Hauptnavigation erschließen alle wichtigen Seiten.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">
      <x:c r="A183" s="4">
        <x:v>182</x:v>
      </x:c>
      <x:c r="B183" s="4" t="s">
        <x:v>173</x:v>
      </x:c>
      <x:c r="C183" s="4" t="s">
        <x:v>201</x:v>
      </x:c>
      <x:c r="D183" s="4" t="s">
        <x:v>206</x:v>
      </x:c>
      <x:c r="E183" s="4" t="s">
        <x:v>9</x:v>
      </x:c>
      <x:c r="F183" s="9" t="str">
        <x:v>Erledigt</x:v>
      </x:c>
      <x:c r="G183" s="10" t="str">
        <x:v>Interne Links und Hauptnavigation erschließen alle wichtigen Seiten.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">
      <x:c r="A184" s="4">
        <x:v>183</x:v>
      </x:c>
      <x:c r="B184" s="4" t="s">
        <x:v>173</x:v>
      </x:c>
      <x:c r="C184" s="4" t="s">
        <x:v>201</x:v>
      </x:c>
      <x:c r="D184" s="4" t="s">
        <x:v>207</x:v>
      </x:c>
      <x:c r="E184" s="4" t="s">
        <x:v>9</x:v>
      </x:c>
      <x:c r="F184" s="9" t="str">
        <x:v>Erledigt</x:v>
      </x:c>
      <x:c r="G184" s="10" t="str">
        <x:v>Alt-Texte vorhanden; dekorative Bilder korrekt leer ausgezeichnet.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">
      <x:c r="A185" s="4">
        <x:v>184</x:v>
      </x:c>
      <x:c r="B185" s="4" t="s">
        <x:v>173</x:v>
      </x:c>
      <x:c r="C185" s="4" t="s">
        <x:v>201</x:v>
      </x:c>
      <x:c r="D185" s="4" t="s">
        <x:v>208</x:v>
      </x:c>
      <x:c r="E185" s="4" t="s">
        <x:v>9</x:v>
      </x:c>
      <x:c r="F185" s="9" t="str">
        <x:v>Nicht erledigt</x:v>
      </x:c>
      <x:c r="G185" s="10" t="str">
        <x:v>Mehrere bestehende Medien-Dateinamen sind generisch/numerisch und nicht vollständig SEO-optimiert.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">
      <x:c r="A186" s="4">
        <x:v>185</x:v>
      </x:c>
      <x:c r="B186" s="4" t="s">
        <x:v>173</x:v>
      </x:c>
      <x:c r="C186" s="4" t="s">
        <x:v>201</x:v>
      </x:c>
      <x:c r="D186" s="4" t="s">
        <x:v>209</x:v>
      </x:c>
      <x:c r="E186" s="4" t="s">
        <x:v>9</x:v>
      </x:c>
      <x:c r="F186" s="9" t="str">
        <x:v>Erledigt</x:v>
      </x:c>
      <x:c r="G186" s="10" t="str">
        <x:v>Lokale Firmendaten, Adresse und Telefonnummer in Inhalt und Schema konsistent.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">
      <x:c r="A187" s="4">
        <x:v>186</x:v>
      </x:c>
      <x:c r="B187" s="4" t="s">
        <x:v>173</x:v>
      </x:c>
      <x:c r="C187" s="4" t="s">
        <x:v>201</x:v>
      </x:c>
      <x:c r="D187" s="4" t="s">
        <x:v>210</x:v>
      </x:c>
      <x:c r="E187" s="4" t="s">
        <x:v>9</x:v>
      </x:c>
      <x:c r="F187" s="9" t="str">
        <x:v>Erledigt</x:v>
      </x:c>
      <x:c r="G187" s="10" t="str">
        <x:v>Lokale Firmendaten, Adresse und Telefonnummer in Inhalt und Schema konsistent.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">
      <x:c r="A188" s="4">
        <x:v>187</x:v>
      </x:c>
      <x:c r="B188" s="4" t="s">
        <x:v>173</x:v>
      </x:c>
      <x:c r="C188" s="4" t="s">
        <x:v>201</x:v>
      </x:c>
      <x:c r="D188" s="4" t="s">
        <x:v>211</x:v>
      </x:c>
      <x:c r="E188" s="4" t="s">
        <x:v>9</x:v>
      </x:c>
      <x:c r="F188" s="9" t="str">
        <x:v>Erledigt</x:v>
      </x:c>
      <x:c r="G188" s="10" t="str">
        <x:v>Lokale Firmendaten, Adresse und Telefonnummer in Inhalt und Schema konsistent.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">
      <x:c r="A189" s="4">
        <x:v>188</x:v>
      </x:c>
      <x:c r="B189" s="4" t="s">
        <x:v>173</x:v>
      </x:c>
      <x:c r="C189" s="4" t="s">
        <x:v>201</x:v>
      </x:c>
      <x:c r="D189" s="4" t="s">
        <x:v>212</x:v>
      </x:c>
      <x:c r="E189" s="4" t="s">
        <x:v>9</x:v>
      </x:c>
      <x:c r="F189" s="9" t="str">
        <x:v>Offen</x:v>
      </x:c>
      <x:c r="G189" s="10" t="str">
        <x:v>Es sind nur Termine nach Absprache angegeben; finale Öffnungszeiten mit Kunde bestätigen.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">
      <x:c r="A190" s="4">
        <x:v>189</x:v>
      </x:c>
      <x:c r="B190" s="4" t="s">
        <x:v>173</x:v>
      </x:c>
      <x:c r="C190" s="4" t="s">
        <x:v>201</x:v>
      </x:c>
      <x:c r="D190" s="4" t="s">
        <x:v>213</x:v>
      </x:c>
      <x:c r="E190" s="4" t="s">
        <x:v>9</x:v>
      </x:c>
      <x:c r="F190" s="9" t="str">
        <x:v>Offen</x:v>
      </x:c>
      <x:c r="G190" s="10" t="str">
        <x:v>Bedarf und Zielsetzung eigener lokaler Standortseiten mit SEO/Kunde klären.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">
      <x:c r="A191" s="4">
        <x:v>190</x:v>
      </x:c>
      <x:c r="B191" s="4" t="s">
        <x:v>173</x:v>
      </x:c>
      <x:c r="C191" s="4" t="s">
        <x:v>201</x:v>
      </x:c>
      <x:c r="D191" s="4" t="s">
        <x:v>214</x:v>
      </x:c>
      <x:c r="E191" s="4" t="s">
        <x:v>9</x:v>
      </x:c>
      <x:c r="F191" s="9" t="str">
        <x:v>Erledigt</x:v>
      </x:c>
      <x:c r="G191" s="10" t="str">
        <x:v>NAP: volksimmobilien km GmbH, Würmersheimer Straße 6, 76474 Au am Rhein, +49 170 2 98 51 41.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30">
      <x:c r="A192" s="4">
        <x:v>191</x:v>
      </x:c>
      <x:c r="B192" s="4" t="s">
        <x:v>173</x:v>
      </x:c>
      <x:c r="C192" s="4" t="s">
        <x:v>215</x:v>
      </x:c>
      <x:c r="D192" s="4" t="s">
        <x:v>216</x:v>
      </x:c>
      <x:c r="E192" s="4" t="s">
        <x:v>9</x:v>
      </x:c>
      <x:c r="F192" s="9" t="str">
        <x:v>Erledigt</x:v>
      </x:c>
      <x:c r="G192" s="10" t="str">
        <x:v>JSON-LD auf relevanten Seiten vorhanden und syntaktisch parsebar.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30">
      <x:c r="A193" s="4">
        <x:v>192</x:v>
      </x:c>
      <x:c r="B193" s="4" t="s">
        <x:v>173</x:v>
      </x:c>
      <x:c r="C193" s="4" t="s">
        <x:v>215</x:v>
      </x:c>
      <x:c r="D193" s="4" t="s">
        <x:v>217</x:v>
      </x:c>
      <x:c r="E193" s="4" t="s">
        <x:v>9</x:v>
      </x:c>
      <x:c r="F193" s="9" t="str">
        <x:v>Offen</x:v>
      </x:c>
      <x:c r="G193" s="10" t="str">
        <x:v>Google Rich Results Test benötigt eine öffentlich erreichbare Produktiv-URL.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30">
      <x:c r="A194" s="4">
        <x:v>193</x:v>
      </x:c>
      <x:c r="B194" s="4" t="s">
        <x:v>173</x:v>
      </x:c>
      <x:c r="C194" s="4" t="s">
        <x:v>215</x:v>
      </x:c>
      <x:c r="D194" s="4" t="s">
        <x:v>218</x:v>
      </x:c>
      <x:c r="E194" s="4" t="s">
        <x:v>9</x:v>
      </x:c>
      <x:c r="F194" s="9" t="str">
        <x:v>Erledigt</x:v>
      </x:c>
      <x:c r="G194" s="10" t="str">
        <x:v>Kein Bewertungs-/Review-Markup eingesetzt; daher keine unzulässige Auszeichnung.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30">
      <x:c r="A195" s="4">
        <x:v>194</x:v>
      </x:c>
      <x:c r="B195" s="4" t="s">
        <x:v>173</x:v>
      </x:c>
      <x:c r="C195" s="4" t="s">
        <x:v>215</x:v>
      </x:c>
      <x:c r="D195" s="4" t="s">
        <x:v>219</x:v>
      </x:c>
      <x:c r="E195" s="4" t="s">
        <x:v>9</x:v>
      </x:c>
      <x:c r="F195" s="9" t="str">
        <x:v>Erledigt</x:v>
      </x:c>
      <x:c r="G195" s="10" t="str">
        <x:v>Kein Bewertungs-/Review-Markup eingesetzt; daher keine unzulässige Auszeichnung.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30">
      <x:c r="A196" s="4">
        <x:v>195</x:v>
      </x:c>
      <x:c r="B196" s="4" t="s">
        <x:v>173</x:v>
      </x:c>
      <x:c r="C196" s="4" t="s">
        <x:v>215</x:v>
      </x:c>
      <x:c r="D196" s="4" t="s">
        <x:v>220</x:v>
      </x:c>
      <x:c r="E196" s="4" t="s">
        <x:v>9</x:v>
      </x:c>
      <x:c r="F196" s="9" t="str">
        <x:v>Erledigt</x:v>
      </x:c>
      <x:c r="G196" s="10" t="str">
        <x:v>Kein Bewertungs-/Review-Markup eingesetzt; daher keine unzulässige Auszeichnung.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30">
      <x:c r="A197" s="4">
        <x:v>196</x:v>
      </x:c>
      <x:c r="B197" s="4" t="s">
        <x:v>173</x:v>
      </x:c>
      <x:c r="C197" s="4" t="s">
        <x:v>215</x:v>
      </x:c>
      <x:c r="D197" s="4" t="s">
        <x:v>221</x:v>
      </x:c>
      <x:c r="E197" s="4" t="s">
        <x:v>9</x:v>
      </x:c>
      <x:c r="F197" s="9" t="str">
        <x:v>Erledigt</x:v>
      </x:c>
      <x:c r="G197" s="10" t="str">
        <x:v>RealEstateAgent/LocalBusiness- und Organization-Knoten geprüft.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30">
      <x:c r="A198" s="4">
        <x:v>197</x:v>
      </x:c>
      <x:c r="B198" s="4" t="s">
        <x:v>173</x:v>
      </x:c>
      <x:c r="C198" s="4" t="s">
        <x:v>215</x:v>
      </x:c>
      <x:c r="D198" s="4" t="s">
        <x:v>222</x:v>
      </x:c>
      <x:c r="E198" s="4" t="s">
        <x:v>9</x:v>
      </x:c>
      <x:c r="F198" s="9" t="str">
        <x:v>Erledigt</x:v>
      </x:c>
      <x:c r="G198" s="10" t="str">
        <x:v>RealEstateAgent/LocalBusiness- und Organization-Knoten geprüft.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30">
      <x:c r="A199" s="4">
        <x:v>198</x:v>
      </x:c>
      <x:c r="B199" s="4" t="s">
        <x:v>173</x:v>
      </x:c>
      <x:c r="C199" s="4" t="s">
        <x:v>215</x:v>
      </x:c>
      <x:c r="D199" s="4" t="s">
        <x:v>223</x:v>
      </x:c>
      <x:c r="E199" s="4" t="s">
        <x:v>9</x:v>
      </x:c>
      <x:c r="F199" s="9" t="str">
        <x:v>Erledigt</x:v>
      </x:c>
      <x:c r="G199" s="10" t="str">
        <x:v>FAQPage-Schema für Kaufen (7), Verkaufen (6) und Bewerten (8 Fragen) synchronisiert.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30">
      <x:c r="A200" s="4">
        <x:v>199</x:v>
      </x:c>
      <x:c r="B200" s="4" t="s">
        <x:v>173</x:v>
      </x:c>
      <x:c r="C200" s="4" t="s">
        <x:v>215</x:v>
      </x:c>
      <x:c r="D200" s="4" t="s">
        <x:v>224</x:v>
      </x:c>
      <x:c r="E200" s="4" t="s">
        <x:v>9</x:v>
      </x:c>
      <x:c r="F200" s="9" t="str">
        <x:v>Erledigt</x:v>
      </x:c>
      <x:c r="G200" s="10" t="str">
        <x:v>BreadcrumbList-Schema auf relevanten Unterseiten vorhanden.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30">
      <x:c r="A201" s="4">
        <x:v>200</x:v>
      </x:c>
      <x:c r="B201" s="4" t="s">
        <x:v>173</x:v>
      </x:c>
      <x:c r="C201" s="4" t="s">
        <x:v>215</x:v>
      </x:c>
      <x:c r="D201" s="4" t="s">
        <x:v>225</x:v>
      </x:c>
      <x:c r="E201" s="4" t="s">
        <x:v>9</x:v>
      </x:c>
      <x:c r="F201" s="9" t="str">
        <x:v>Erledigt</x:v>
      </x:c>
      <x:c r="G201" s="10" t="str">
        <x:v>Kein Product-/Event-Schema fachlich erforderlich; nicht anwendbar.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30">
      <x:c r="A202" s="4">
        <x:v>201</x:v>
      </x:c>
      <x:c r="B202" s="4" t="s">
        <x:v>173</x:v>
      </x:c>
      <x:c r="C202" s="4" t="s">
        <x:v>215</x:v>
      </x:c>
      <x:c r="D202" s="4" t="s">
        <x:v>226</x:v>
      </x:c>
      <x:c r="E202" s="4" t="s">
        <x:v>9</x:v>
      </x:c>
      <x:c r="F202" s="9" t="str">
        <x:v>Erledigt</x:v>
      </x:c>
      <x:c r="G202" s="10" t="str">
        <x:v>JSON-LD parsebar und ohne sichtbare irreführende Pflichtangaben.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30">
      <x:c r="A203" s="4">
        <x:v>202</x:v>
      </x:c>
      <x:c r="B203" s="4" t="s">
        <x:v>173</x:v>
      </x:c>
      <x:c r="C203" s="4" t="s">
        <x:v>215</x:v>
      </x:c>
      <x:c r="D203" s="4" t="s">
        <x:v>227</x:v>
      </x:c>
      <x:c r="E203" s="4" t="s">
        <x:v>9</x:v>
      </x:c>
      <x:c r="F203" s="9" t="str">
        <x:v>Erledigt</x:v>
      </x:c>
      <x:c r="G203" s="10" t="str">
        <x:v>Relevante Hauptseiten enthalten Organization/RealEstateAgent plus passende Zusatzschemata.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30">
      <x:c r="A204" s="4">
        <x:v>203</x:v>
      </x:c>
      <x:c r="B204" s="4" t="s">
        <x:v>173</x:v>
      </x:c>
      <x:c r="C204" s="4" t="s">
        <x:v>215</x:v>
      </x:c>
      <x:c r="D204" s="4" t="s">
        <x:v>228</x:v>
      </x:c>
      <x:c r="E204" s="4" t="s">
        <x:v>9</x:v>
      </x:c>
      <x:c r="F204" s="9" t="str">
        <x:v>Erledigt</x:v>
      </x:c>
      <x:c r="G204" s="10" t="str">
        <x:v>Doppelte Meta-/WebSite-Schema-Ausgabe mit Yoast entfernt; keine Duplicate-Konflikte gefunden.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30">
      <x:c r="A205" s="4">
        <x:v>204</x:v>
      </x:c>
      <x:c r="B205" s="4" t="s">
        <x:v>229</x:v>
      </x:c>
      <x:c r="C205" s="4"/>
      <x:c r="D205" s="4" t="s">
        <x:v>230</x:v>
      </x:c>
      <x:c r="E205" s="4" t="s">
        <x:v>9</x:v>
      </x:c>
      <x:c r="F205" s="9" t="str">
        <x:v>Offen</x:v>
      </x:c>
      <x:c r="G205" s="10" t="str">
        <x:v>WPMUDEV-Plugins sind aktiv/aktuell; externer Wartungskunden-Checklistenstatus nicht einsehbar.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5">
      <x:c r="A206" s="4">
        <x:v>205</x:v>
      </x:c>
      <x:c r="B206" s="4" t="s">
        <x:v>231</x:v>
      </x:c>
      <x:c r="C206" s="4"/>
      <x:c r="D206" s="4" t="s">
        <x:v>232</x:v>
      </x:c>
      <x:c r="E206" s="4" t="s">
        <x:v>9</x:v>
      </x:c>
      <x:c r="F206" s="9" t="str">
        <x:v>Erledigt</x:v>
      </x:c>
      <x:c r="G206" s="10" t="str">
        <x:v>Bilder komprimiert; Smush Pro aktiv und aktuell.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5">
      <x:c r="A207" s="4">
        <x:v>206</x:v>
      </x:c>
      <x:c r="B207" s="4" t="s">
        <x:v>231</x:v>
      </x:c>
      <x:c r="C207" s="4"/>
      <x:c r="D207" s="4" t="s">
        <x:v>233</x:v>
      </x:c>
      <x:c r="E207" s="4" t="s">
        <x:v>9</x:v>
      </x:c>
      <x:c r="F207" s="9" t="str">
        <x:v>Erledigt</x:v>
      </x:c>
      <x:c r="G207" s="10" t="str">
        <x:v>Moderne WebP-Bilder werden auf den Hauptseiten verwendet.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5">
      <x:c r="A208" s="4">
        <x:v>207</x:v>
      </x:c>
      <x:c r="B208" s="4" t="s">
        <x:v>231</x:v>
      </x:c>
      <x:c r="C208" s="4"/>
      <x:c r="D208" s="4" t="s">
        <x:v>234</x:v>
      </x:c>
      <x:c r="E208" s="4" t="s">
        <x:v>9</x:v>
      </x:c>
      <x:c r="F208" s="9" t="str">
        <x:v>Erledigt</x:v>
      </x:c>
      <x:c r="G208" s="10" t="str">
        <x:v>Lazy Loading für nicht-kritische Bilder aktiv.</x:v>
      </x:c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5">
      <x:c r="A209" s="4">
        <x:v>208</x:v>
      </x:c>
      <x:c r="B209" s="4" t="s">
        <x:v>231</x:v>
      </x:c>
      <x:c r="C209" s="4"/>
      <x:c r="D209" s="4" t="s">
        <x:v>235</x:v>
      </x:c>
      <x:c r="E209" s="4" t="s">
        <x:v>9</x:v>
      </x:c>
      <x:c r="F209" s="9" t="str">
        <x:v>Erledigt</x:v>
      </x:c>
      <x:c r="G209" s="10" t="str">
        <x:v>Videos mit preload=metadata bzw. bedarfsgerecht eingebunden.</x:v>
      </x:c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5">
      <x:c r="A210" s="4">
        <x:v>209</x:v>
      </x:c>
      <x:c r="B210" s="4" t="s">
        <x:v>231</x:v>
      </x:c>
      <x:c r="C210" s="4"/>
      <x:c r="D210" s="4" t="s">
        <x:v>236</x:v>
      </x:c>
      <x:c r="E210" s="4" t="s">
        <x:v>9</x:v>
      </x:c>
      <x:c r="F210" s="9" t="str">
        <x:v>Erledigt</x:v>
      </x:c>
      <x:c r="G210" s="10" t="str">
        <x:v>Schriften lokal als WOFF2 mit Lizenzdateien eingebunden.</x:v>
      </x:c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5">
      <x:c r="A211" s="4">
        <x:v>210</x:v>
      </x:c>
      <x:c r="B211" s="4" t="s">
        <x:v>231</x:v>
      </x:c>
      <x:c r="C211" s="4"/>
      <x:c r="D211" s="4" t="s">
        <x:v>237</x:v>
      </x:c>
      <x:c r="E211" s="4" t="s">
        <x:v>9</x:v>
      </x:c>
      <x:c r="F211" s="9" t="str">
        <x:v>Erledigt</x:v>
      </x:c>
      <x:c r="G211" s="10" t="str">
        <x:v>Plugins geprüft; WP File Manager deaktiviert, nur benötigte Laufzeit-/Migrationsplugins aktiv.</x:v>
      </x:c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5">
      <x:c r="A212" s="4">
        <x:v>211</x:v>
      </x:c>
      <x:c r="B212" s="4" t="s">
        <x:v>231</x:v>
      </x:c>
      <x:c r="C212" s="4"/>
      <x:c r="D212" s="4" t="s">
        <x:v>238</x:v>
      </x:c>
      <x:c r="E212" s="4" t="s">
        <x:v>9</x:v>
      </x:c>
      <x:c r="F212" s="9" t="str">
        <x:v>Offen</x:v>
      </x:c>
      <x:c r="G212" s="10" t="str">
        <x:v>PageSpeed Insights und reale Mobile-Metriken erst auf der öffentlichen Produktivdomain prüfen.</x:v>
      </x:c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5">
      <x:c r="A213" s="4">
        <x:v>212</x:v>
      </x:c>
      <x:c r="B213" s="4" t="s">
        <x:v>231</x:v>
      </x:c>
      <x:c r="C213" s="4"/>
      <x:c r="D213" s="4" t="s">
        <x:v>239</x:v>
      </x:c>
      <x:c r="E213" s="4" t="s">
        <x:v>9</x:v>
      </x:c>
      <x:c r="F213" s="9" t="str">
        <x:v>Offen</x:v>
      </x:c>
      <x:c r="G213" s="10" t="str">
        <x:v>PageSpeed Insights und reale Mobile-Metriken erst auf der öffentlichen Produktivdomain prüfen.</x:v>
      </x:c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30">
      <x:c r="A214" s="4">
        <x:v>213</x:v>
      </x:c>
      <x:c r="B214" s="4" t="s">
        <x:v>240</x:v>
      </x:c>
      <x:c r="C214" s="4"/>
      <x:c r="D214" s="4" t="s">
        <x:v>241</x:v>
      </x:c>
      <x:c r="E214" s="4" t="s">
        <x:v>9</x:v>
      </x:c>
      <x:c r="F214" s="9" t="str">
        <x:v>Nicht erledigt</x:v>
      </x:c>
      <x:c r="G214" s="10" t="str">
        <x:v>Impressum erreichbar, aber Registergericht/HRB und ggf. USt-ID fehlen; juristisch ergänzen.</x:v>
      </x:c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30">
      <x:c r="A215" s="4">
        <x:v>214</x:v>
      </x:c>
      <x:c r="B215" s="4" t="s">
        <x:v>240</x:v>
      </x:c>
      <x:c r="C215" s="4"/>
      <x:c r="D215" s="4" t="s">
        <x:v>242</x:v>
      </x:c>
      <x:c r="E215" s="4" t="s">
        <x:v>9</x:v>
      </x:c>
      <x:c r="F215" s="9" t="str">
        <x:v>Nicht erledigt</x:v>
      </x:c>
      <x:c r="G215" s="10" t="str">
        <x:v>Datenschutz erreichbar, aber Hosting/Complianz/GTM/GA4/reCAPTCHA/WPForms/SMTP rechtlich abgleichen.</x:v>
      </x:c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30">
      <x:c r="A216" s="4">
        <x:v>215</x:v>
      </x:c>
      <x:c r="B216" s="4" t="s">
        <x:v>240</x:v>
      </x:c>
      <x:c r="C216" s="4"/>
      <x:c r="D216" s="4" t="s">
        <x:v>52</x:v>
      </x:c>
      <x:c r="E216" s="4" t="s">
        <x:v>9</x:v>
      </x:c>
      <x:c r="F216" s="9" t="str">
        <x:v>Nicht erledigt</x:v>
      </x:c>
      <x:c r="G216" s="10" t="str">
        <x:v>Seiten technisch erreichbar; richtige/vollständige Rechtsinhalte sind noch nicht bestätigt.</x:v>
      </x:c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30">
      <x:c r="A217" s="4">
        <x:v>216</x:v>
      </x:c>
      <x:c r="B217" s="4" t="s">
        <x:v>240</x:v>
      </x:c>
      <x:c r="C217" s="4"/>
      <x:c r="D217" s="4" t="s">
        <x:v>243</x:v>
      </x:c>
      <x:c r="E217" s="4" t="s">
        <x:v>9</x:v>
      </x:c>
      <x:c r="F217" s="9" t="str">
        <x:v>Offen</x:v>
      </x:c>
      <x:c r="G217" s="10" t="str">
        <x:v>Nicht abschließbar: Domain/HTTPS, SMTP, Tracking-Zugänge, Rechtstexte und Live-Tests stehen aus.</x:v>
      </x:c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30">
      <x:c r="A218" s="4">
        <x:v>217</x:v>
      </x:c>
      <x:c r="B218" s="4" t="s">
        <x:v>240</x:v>
      </x:c>
      <x:c r="C218" s="4"/>
      <x:c r="D218" s="4" t="s">
        <x:v>244</x:v>
      </x:c>
      <x:c r="E218" s="4" t="s">
        <x:v>9</x:v>
      </x:c>
      <x:c r="F218" s="9" t="str">
        <x:v>Offen</x:v>
      </x:c>
      <x:c r="G218" s="10" t="str">
        <x:v>Finale Kundenfreigabe wurde noch nicht erteilt.</x:v>
      </x:c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5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5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5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5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5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5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5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5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5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15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15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15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15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15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15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1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15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15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15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15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15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15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15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15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15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1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15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15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15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15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15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15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15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15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15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1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15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15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15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15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15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15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15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15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15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1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15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15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15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15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15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15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15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15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15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1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15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15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15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15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15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15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15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15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15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1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15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15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15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15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15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15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15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15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15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1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15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15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15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15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15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conditionalFormatting sqref="A2:G218">
    <x:cfRule type="expression" dxfId="5" priority="4">
      <x:formula>$F2="Erledigt"</x:formula>
    </x:cfRule>
    <x:cfRule type="expression" dxfId="4" priority="5">
      <x:formula>$F2="Nicht erledigt"</x:formula>
    </x:cfRule>
    <x:cfRule type="expression" dxfId="3" priority="6">
      <x:formula>$F2="Offen"</x:formula>
    </x:cfRule>
  </x:conditionalFormatting>
  <x:conditionalFormatting sqref="F2:F218">
    <x:cfRule type="expression" dxfId="2" priority="1">
      <x:formula>F2="Offen"</x:formula>
    </x:cfRule>
    <x:cfRule type="expression" dxfId="1" priority="2">
      <x:formula>F2="Erledigt"</x:formula>
    </x:cfRule>
    <x:cfRule type="expression" dxfId="0" priority="3">
      <x:formula>F2="Nicht erledigt"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892a45883a45f1"/>
  </x:tableParts>
</x:worksheet>
</file>

<file path=xl/worksheets/sheet2.xml><?xml version="1.0" encoding="utf-8"?>
<x:worksheet xmlns:x="http://schemas.openxmlformats.org/spreadsheetml/2006/main">
  <x:sheetFormatPr defaultColWidth="9" defaultRowHeight="14.100000381469727"/>
  <x:cols>
    <x:col min="1" max="1" width="24" customWidth="1"/>
    <x:col min="2" max="2" width="18" customWidth="1"/>
  </x:cols>
  <x:sheetData>
    <x:row r="1" ht="15">
      <x:c r="A1" s="2" t="s">
        <x:v>4</x:v>
      </x:c>
      <x:c r="B1" s="2" t="s">
        <x:v>5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>
      <x:c r="A2" s="1" t="s">
        <x:v>245</x:v>
      </x:c>
      <x:c r="B2" s="1" t="s">
        <x:v>246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>
      <x:c r="A3" s="1" t="s">
        <x:v>9</x:v>
      </x:c>
      <x:c r="B3" s="1" t="s">
        <x:v>247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>
      <x:c r="A4" s="1" t="s">
        <x:v>248</x:v>
      </x:c>
      <x:c r="B4" s="1" t="s">
        <x:v>249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>
      <x:c r="A5" s="1" t="s">
        <x:v>250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>
      <x:c r="A6" s="1" t="s">
        <x:v>251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5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5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5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5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5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5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5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5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5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5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5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5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5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5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5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5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5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5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5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5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5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5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5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5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5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15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15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15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15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15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15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1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15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15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15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15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15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15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15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15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15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1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15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15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15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15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15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15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15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15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15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1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15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15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15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15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15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15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15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15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15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1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15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15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15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15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15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15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15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15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15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1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15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15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15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15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15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15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15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15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15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1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15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15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15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15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15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15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15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15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15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1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15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15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15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15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15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100000381469727"/>
  <x:cols>
    <x:col min="1" max="1" width="24" customWidth="1"/>
    <x:col min="2" max="2" width="16" customWidth="1"/>
    <x:col min="4" max="4" width="24" customWidth="1"/>
    <x:col min="5" max="5" width="16" customWidth="1"/>
  </x:cols>
  <x:sheetData>
    <x:row r="1" ht="30" customHeight="1">
      <x:c r="A1" s="7" t="s">
        <x:v>252</x:v>
      </x:c>
      <x:c r="B1" s="7"/>
      <x:c r="C1" s="7"/>
      <x:c r="D1" s="7"/>
      <x:c r="E1" s="7"/>
      <x:c r="F1" s="7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>
      <x:c r="A3" s="3" t="s">
        <x:v>253</x:v>
      </x:c>
      <x:c r="B3" s="3" t="s">
        <x:v>254</x:v>
      </x:c>
      <x:c r="C3" s="1"/>
      <x:c r="D3" s="3" t="s">
        <x:v>4</x:v>
      </x:c>
      <x:c r="E3" s="3" t="s">
        <x:v>255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>
      <x:c r="A4" s="6" t="s">
        <x:v>256</x:v>
      </x:c>
      <x:c r="B4" s="4" t="n">
        <x:f>COUNTA(Checkliste!$D$2:$D$218)</x:f>
        <x:v>217</x:v>
      </x:c>
      <x:c r="C4" s="1"/>
      <x:c r="D4" s="6" t="s">
        <x:v>245</x:v>
      </x:c>
      <x:c r="E4" s="4" t="n">
        <x:f>COUNTIF(Checkliste!$E$2:$E$218,D4)</x:f>
        <x:v>0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>
      <x:c r="A5" s="6" t="s">
        <x:v>246</x:v>
      </x:c>
      <x:c r="B5" s="4" t="n">
        <x:f>COUNTIF(Checkliste!$F$2:$F$218,"Offen")</x:f>
        <x:v>65</x:v>
      </x:c>
      <x:c r="C5" s="1"/>
      <x:c r="D5" s="6" t="s">
        <x:v>9</x:v>
      </x:c>
      <x:c r="E5" s="4" t="n">
        <x:f>COUNTIF(Checkliste!$E$2:$E$218,D5)</x:f>
        <x:v>217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>
      <x:c r="A6" s="6" t="s">
        <x:v>247</x:v>
      </x:c>
      <x:c r="B6" s="4" t="n">
        <x:f>COUNTIF(Checkliste!$F$2:$F$218,"Erledigt")</x:f>
        <x:v>143</x:v>
      </x:c>
      <x:c r="C6" s="1"/>
      <x:c r="D6" s="6" t="s">
        <x:v>248</x:v>
      </x:c>
      <x:c r="E6" s="4" t="n">
        <x:f>COUNTIF(Checkliste!$E$2:$E$218,D6)</x:f>
        <x:v>0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>
      <x:c r="A7" s="6" t="s">
        <x:v>249</x:v>
      </x:c>
      <x:c r="B7" s="4" t="n">
        <x:f>COUNTIF(Checkliste!$F$2:$F$218,"Nicht erledigt")</x:f>
        <x:v>9</x:v>
      </x:c>
      <x:c r="C7" s="1"/>
      <x:c r="D7" s="6" t="s">
        <x:v>250</x:v>
      </x:c>
      <x:c r="E7" s="4" t="n">
        <x:f>COUNTIF(Checkliste!$E$2:$E$218,D7)</x:f>
        <x:v>0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>
      <x:c r="A8" s="6" t="s">
        <x:v>257</x:v>
      </x:c>
      <x:c r="B8" s="5" t="n">
        <x:f>IF(B4=0,0,B6/B4)</x:f>
        <x:v>0.6589861751152074</x:v>
      </x:c>
      <x:c r="C8" s="1"/>
      <x:c r="D8" s="6" t="s">
        <x:v>251</x:v>
      </x:c>
      <x:c r="E8" s="4" t="n">
        <x:f>COUNTIF(Checkliste!$E$2:$E$218,D8)</x:f>
        <x:v>0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5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5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5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5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5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5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5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5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5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5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5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5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5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5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5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5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5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5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5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5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5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5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5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5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5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15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15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15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15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15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15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1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15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15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15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15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15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15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15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15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15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1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15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15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15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15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15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15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15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15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15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1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15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15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15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15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15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15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15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15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15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1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15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15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15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15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15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15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15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15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15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1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15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15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15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15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15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15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15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15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15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1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15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15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15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15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15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15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15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15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15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1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15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15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15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15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15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e96db08bf7d4e56"/>
</x:worksheet>
</file>